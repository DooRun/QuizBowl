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960" yWindow="75" windowWidth="11070" windowHeight="5625" activeTab="1"/>
  </bookViews>
  <sheets>
    <sheet name="TABLE" sheetId="1" r:id="rId1"/>
    <sheet name="pizza order" sheetId="2" r:id="rId2"/>
  </sheets>
  <definedNames>
    <definedName name="CubeCase">TABLE!$O$1</definedName>
    <definedName name="home">TABLE!$A$1</definedName>
    <definedName name="_xlnm.Print_Area" localSheetId="0">TABLE!$A$1:$J$27</definedName>
    <definedName name="SORT_RANGE">TABLE!$A$3:$J$30</definedName>
  </definedNames>
  <calcPr calcId="145621"/>
</workbook>
</file>

<file path=xl/calcChain.xml><?xml version="1.0" encoding="utf-8"?>
<calcChain xmlns="http://schemas.openxmlformats.org/spreadsheetml/2006/main">
  <c r="A8" i="2" l="1"/>
  <c r="E14" i="2"/>
  <c r="A10" i="2"/>
  <c r="A12" i="2"/>
  <c r="A14" i="2"/>
  <c r="F21" i="2"/>
  <c r="F20" i="2"/>
  <c r="B17" i="2"/>
  <c r="B16" i="2"/>
  <c r="B15" i="2"/>
  <c r="A5" i="2"/>
  <c r="A6" i="2"/>
  <c r="J8" i="1"/>
  <c r="A8" i="1"/>
  <c r="J4" i="1"/>
  <c r="A4" i="1"/>
  <c r="J5" i="1"/>
  <c r="J7" i="1"/>
  <c r="J6" i="1"/>
  <c r="J9" i="1"/>
  <c r="A9" i="1"/>
  <c r="J10" i="1"/>
  <c r="A10" i="1"/>
  <c r="J11" i="1"/>
  <c r="A11" i="1"/>
  <c r="J13" i="1"/>
  <c r="A13" i="1"/>
  <c r="J14" i="1"/>
  <c r="A14" i="1"/>
  <c r="J15" i="1"/>
  <c r="A15" i="1"/>
  <c r="J16" i="1"/>
  <c r="A16" i="1"/>
  <c r="J17" i="1"/>
  <c r="A17" i="1"/>
  <c r="J18" i="1"/>
  <c r="A18" i="1"/>
  <c r="J19" i="1"/>
  <c r="A19" i="1"/>
  <c r="J20" i="1"/>
  <c r="A20" i="1"/>
  <c r="J21" i="1"/>
  <c r="A21" i="1"/>
  <c r="J22" i="1"/>
  <c r="A22" i="1"/>
  <c r="J23" i="1"/>
  <c r="A23" i="1"/>
  <c r="J24" i="1"/>
  <c r="A24" i="1"/>
  <c r="J25" i="1"/>
  <c r="A25" i="1"/>
  <c r="J26" i="1"/>
  <c r="A26" i="1"/>
  <c r="J27" i="1"/>
  <c r="A27" i="1"/>
  <c r="J28" i="1"/>
  <c r="A28" i="1"/>
  <c r="J29" i="1"/>
  <c r="A29" i="1"/>
  <c r="J30" i="1"/>
  <c r="A30" i="1"/>
  <c r="J12" i="1"/>
  <c r="A12" i="1"/>
  <c r="A5" i="1"/>
  <c r="A6" i="1"/>
  <c r="A7" i="1"/>
  <c r="A15" i="2"/>
  <c r="A20" i="2"/>
  <c r="A17" i="2"/>
  <c r="A22" i="2"/>
  <c r="A16" i="2"/>
  <c r="A21" i="2"/>
  <c r="E20" i="2"/>
  <c r="E21" i="2"/>
  <c r="A24" i="2"/>
  <c r="B25" i="2"/>
  <c r="C25" i="2"/>
  <c r="A25" i="2"/>
</calcChain>
</file>

<file path=xl/sharedStrings.xml><?xml version="1.0" encoding="utf-8"?>
<sst xmlns="http://schemas.openxmlformats.org/spreadsheetml/2006/main" count="46" uniqueCount="40">
  <si>
    <t>Round 2</t>
  </si>
  <si>
    <t>Round 3</t>
  </si>
  <si>
    <t>Round 4</t>
  </si>
  <si>
    <t>Round 5</t>
  </si>
  <si>
    <t>Round 6</t>
  </si>
  <si>
    <t>Score</t>
  </si>
  <si>
    <t xml:space="preserve">Round 1 </t>
  </si>
  <si>
    <t>Place</t>
  </si>
  <si>
    <t>Team #</t>
  </si>
  <si>
    <t>Team Name</t>
  </si>
  <si>
    <t>&lt;--Cube case for sorting</t>
  </si>
  <si>
    <t xml:space="preserve">QUIZ BOWL SCORES
    </t>
  </si>
  <si>
    <t xml:space="preserve">ST. THOMAS MORE SPRING 2024 
    </t>
  </si>
  <si>
    <t># of competitors</t>
  </si>
  <si>
    <t>staff</t>
  </si>
  <si>
    <t>family/observers</t>
  </si>
  <si>
    <t>slices per person</t>
  </si>
  <si>
    <t>pizzas</t>
  </si>
  <si>
    <t>peperoni</t>
  </si>
  <si>
    <t>cheese</t>
  </si>
  <si>
    <t>sausage</t>
  </si>
  <si>
    <t>Pizza order</t>
  </si>
  <si>
    <t>slices per pizza</t>
  </si>
  <si>
    <t>total forecasted</t>
  </si>
  <si>
    <t>total people at start of event</t>
  </si>
  <si>
    <t>Order…</t>
  </si>
  <si>
    <t>total slices</t>
  </si>
  <si>
    <t>contingiency</t>
  </si>
  <si>
    <t>people planned</t>
  </si>
  <si>
    <t>QB:  Pre-order at Papa John's--Pre-ordered 19 pizzas (8pep, 4ch, 7sau)  with Stephanie for March 16th, to be delivered by 12:00pm, $177.73 is the total</t>
  </si>
  <si>
    <t>Buy…</t>
  </si>
  <si>
    <t>golden delicious apples</t>
  </si>
  <si>
    <t>bananas</t>
  </si>
  <si>
    <t>A - The Inquisitors</t>
  </si>
  <si>
    <t>B - Daughters of the King</t>
  </si>
  <si>
    <t>C - St. Michael's</t>
  </si>
  <si>
    <t>D - The Apple's Crew</t>
  </si>
  <si>
    <t>&lt;--keep</t>
  </si>
  <si>
    <t>Note for 2025…. Order no more fruit than # of people, but order pizza at 20% contingiency rate and 2.5 slices per person.</t>
  </si>
  <si>
    <t>2024 pre-order…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</si>
</sst>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1" x14ac:knownFonts="1">
    <font>
      <sz val="10"/>
      <name val="Arial"/>
    </font>
    <font>
      <b/>
      <u/>
      <sz val="12"/>
      <name val="Arial Black"/>
      <family val="2"/>
    </font>
    <font>
      <b/>
      <sz val="22"/>
      <name val="Arial Black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0"/>
      <color theme="1"/>
      <name val="Arial Black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0" fillId="0" borderId="0" xfId="0" applyBorder="1"/>
    <xf numFmtId="0" fontId="2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left" vertical="center"/>
    </xf>
    <xf numFmtId="0" fontId="5" fillId="0" borderId="0" xfId="0" applyFont="1" applyBorder="1"/>
    <xf numFmtId="0" fontId="6" fillId="2" borderId="1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" fillId="2" borderId="1" xfId="0" applyFont="1" applyFill="1" applyBorder="1" applyAlignment="1"/>
    <xf numFmtId="0" fontId="3" fillId="0" borderId="0" xfId="0" applyFont="1" applyAlignment="1"/>
    <xf numFmtId="0" fontId="0" fillId="4" borderId="0" xfId="0" applyFill="1" applyBorder="1"/>
    <xf numFmtId="0" fontId="3" fillId="0" borderId="1" xfId="0" applyFont="1" applyBorder="1" applyAlignment="1"/>
    <xf numFmtId="0" fontId="3" fillId="5" borderId="1" xfId="0" applyFont="1" applyFill="1" applyBorder="1" applyAlignment="1">
      <alignment horizontal="center"/>
    </xf>
    <xf numFmtId="0" fontId="5" fillId="0" borderId="0" xfId="0" applyFont="1"/>
    <xf numFmtId="164" fontId="0" fillId="0" borderId="0" xfId="1" applyNumberFormat="1" applyFont="1"/>
    <xf numFmtId="9" fontId="5" fillId="0" borderId="0" xfId="2" applyFont="1"/>
    <xf numFmtId="0" fontId="6" fillId="0" borderId="0" xfId="0" applyFont="1"/>
    <xf numFmtId="165" fontId="0" fillId="0" borderId="0" xfId="0" applyNumberFormat="1"/>
    <xf numFmtId="0" fontId="0" fillId="3" borderId="0" xfId="0" applyFill="1"/>
    <xf numFmtId="9" fontId="0" fillId="3" borderId="0" xfId="0" applyNumberFormat="1" applyFill="1"/>
    <xf numFmtId="0" fontId="5" fillId="6" borderId="0" xfId="0" applyFont="1" applyFill="1"/>
    <xf numFmtId="43" fontId="0" fillId="0" borderId="0" xfId="0" applyNumberFormat="1"/>
    <xf numFmtId="0" fontId="9" fillId="0" borderId="0" xfId="0" applyFont="1"/>
    <xf numFmtId="9" fontId="0" fillId="0" borderId="0" xfId="0" applyNumberFormat="1"/>
    <xf numFmtId="0" fontId="5" fillId="7" borderId="0" xfId="0" applyFont="1" applyFill="1"/>
    <xf numFmtId="165" fontId="0" fillId="7" borderId="0" xfId="0" applyNumberFormat="1" applyFill="1"/>
    <xf numFmtId="0" fontId="0" fillId="0" borderId="0" xfId="0" applyFill="1"/>
    <xf numFmtId="0" fontId="10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rgb="FFFF0000"/>
      </font>
    </dxf>
    <dxf>
      <font>
        <color rgb="FFFFFF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0</xdr:row>
      <xdr:rowOff>47625</xdr:rowOff>
    </xdr:from>
    <xdr:to>
      <xdr:col>10</xdr:col>
      <xdr:colOff>219075</xdr:colOff>
      <xdr:row>1</xdr:row>
      <xdr:rowOff>419100</xdr:rowOff>
    </xdr:to>
    <xdr:pic macro="[0]!Cube">
      <xdr:nvPicPr>
        <xdr:cNvPr id="1068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47625"/>
          <a:ext cx="781050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7"/>
  <sheetViews>
    <sheetView showGridLines="0" showRowColHeaders="0" zoomScale="177" zoomScaleNormal="177" workbookViewId="0">
      <selection activeCell="B1" sqref="B1"/>
    </sheetView>
  </sheetViews>
  <sheetFormatPr defaultRowHeight="12.75" x14ac:dyDescent="0.2"/>
  <cols>
    <col min="1" max="1" width="7.85546875" style="16" customWidth="1"/>
    <col min="2" max="2" width="10.7109375" style="16" bestFit="1" customWidth="1"/>
    <col min="3" max="3" width="29.7109375" style="16" customWidth="1"/>
    <col min="4" max="4" width="8.5703125" style="14" bestFit="1" customWidth="1"/>
    <col min="5" max="7" width="8" style="14" bestFit="1" customWidth="1"/>
    <col min="8" max="9" width="8" style="14" hidden="1" customWidth="1"/>
    <col min="10" max="10" width="7.28515625" style="14" bestFit="1" customWidth="1"/>
  </cols>
  <sheetData>
    <row r="1" spans="1:16" s="2" customFormat="1" ht="33.75" x14ac:dyDescent="0.2">
      <c r="A1" s="7" t="s">
        <v>12</v>
      </c>
      <c r="B1" s="7"/>
      <c r="C1" s="7"/>
      <c r="D1" s="7"/>
      <c r="E1" s="7"/>
      <c r="F1" s="7"/>
      <c r="G1" s="7"/>
      <c r="H1" s="7"/>
      <c r="I1" s="7"/>
      <c r="J1" s="7"/>
      <c r="O1" s="17">
        <v>0</v>
      </c>
      <c r="P1" s="8" t="s">
        <v>10</v>
      </c>
    </row>
    <row r="2" spans="1:16" s="3" customFormat="1" ht="33.75" x14ac:dyDescent="0.2">
      <c r="A2" s="7" t="s">
        <v>11</v>
      </c>
      <c r="B2" s="7"/>
      <c r="C2" s="7"/>
      <c r="D2" s="7"/>
      <c r="E2" s="7"/>
      <c r="F2" s="7"/>
      <c r="G2" s="7"/>
      <c r="H2" s="7"/>
      <c r="I2" s="7"/>
      <c r="J2" s="7"/>
    </row>
    <row r="3" spans="1:16" s="1" customFormat="1" ht="21" customHeight="1" x14ac:dyDescent="0.4">
      <c r="A3" s="15" t="s">
        <v>7</v>
      </c>
      <c r="B3" s="15" t="s">
        <v>8</v>
      </c>
      <c r="C3" s="15" t="s">
        <v>9</v>
      </c>
      <c r="D3" s="9" t="s">
        <v>6</v>
      </c>
      <c r="E3" s="9" t="s">
        <v>0</v>
      </c>
      <c r="F3" s="9" t="s">
        <v>1</v>
      </c>
      <c r="G3" s="9" t="s">
        <v>2</v>
      </c>
      <c r="H3" s="9" t="s">
        <v>3</v>
      </c>
      <c r="I3" s="9" t="s">
        <v>4</v>
      </c>
      <c r="J3" s="5" t="s">
        <v>5</v>
      </c>
    </row>
    <row r="4" spans="1:16" x14ac:dyDescent="0.2">
      <c r="A4" s="19">
        <f t="shared" ref="A4:A30" si="0">IF(J4&gt;0,IF(CubeCase=1,"",IF(ROW(B4)=4,1,IF(J4=J3,A3,ROW(B4)-3))),"")</f>
        <v>1</v>
      </c>
      <c r="B4" s="12">
        <v>1</v>
      </c>
      <c r="C4" s="18" t="s">
        <v>33</v>
      </c>
      <c r="D4" s="11">
        <v>22</v>
      </c>
      <c r="E4" s="11">
        <v>22</v>
      </c>
      <c r="F4" s="11">
        <v>14</v>
      </c>
      <c r="G4" s="12">
        <v>20</v>
      </c>
      <c r="H4" s="12"/>
      <c r="I4" s="12"/>
      <c r="J4" s="6">
        <f t="shared" ref="J4:J30" si="1">IF(B4="",-1,IF(SUM(D4:I4)=0,"",SUM(D4:I4)))</f>
        <v>78</v>
      </c>
    </row>
    <row r="5" spans="1:16" x14ac:dyDescent="0.2">
      <c r="A5" s="19">
        <f t="shared" si="0"/>
        <v>2</v>
      </c>
      <c r="B5" s="12">
        <v>2</v>
      </c>
      <c r="C5" s="18" t="s">
        <v>34</v>
      </c>
      <c r="D5" s="11">
        <v>18</v>
      </c>
      <c r="E5" s="11">
        <v>18</v>
      </c>
      <c r="F5" s="11">
        <v>14</v>
      </c>
      <c r="G5" s="12">
        <v>17</v>
      </c>
      <c r="H5" s="12"/>
      <c r="I5" s="12"/>
      <c r="J5" s="6">
        <f t="shared" si="1"/>
        <v>67</v>
      </c>
    </row>
    <row r="6" spans="1:16" x14ac:dyDescent="0.2">
      <c r="A6" s="19">
        <f t="shared" si="0"/>
        <v>3</v>
      </c>
      <c r="B6" s="12">
        <v>3</v>
      </c>
      <c r="C6" s="18" t="s">
        <v>35</v>
      </c>
      <c r="D6" s="11">
        <v>16</v>
      </c>
      <c r="E6" s="11">
        <v>20</v>
      </c>
      <c r="F6" s="11">
        <v>14</v>
      </c>
      <c r="G6" s="12">
        <v>12</v>
      </c>
      <c r="H6" s="12"/>
      <c r="I6" s="12"/>
      <c r="J6" s="6">
        <f t="shared" si="1"/>
        <v>62</v>
      </c>
    </row>
    <row r="7" spans="1:16" x14ac:dyDescent="0.2">
      <c r="A7" s="19">
        <f t="shared" si="0"/>
        <v>4</v>
      </c>
      <c r="B7" s="12">
        <v>4</v>
      </c>
      <c r="C7" s="18" t="s">
        <v>36</v>
      </c>
      <c r="D7" s="11">
        <v>13</v>
      </c>
      <c r="E7" s="11">
        <v>16</v>
      </c>
      <c r="F7" s="11">
        <v>7</v>
      </c>
      <c r="G7" s="12">
        <v>14</v>
      </c>
      <c r="H7" s="12"/>
      <c r="I7" s="12"/>
      <c r="J7" s="6">
        <f t="shared" si="1"/>
        <v>50</v>
      </c>
    </row>
    <row r="8" spans="1:16" x14ac:dyDescent="0.2">
      <c r="A8" s="19" t="str">
        <f t="shared" si="0"/>
        <v/>
      </c>
      <c r="B8" s="12"/>
      <c r="C8" s="18"/>
      <c r="D8" s="11"/>
      <c r="E8" s="11"/>
      <c r="F8" s="11"/>
      <c r="G8" s="12"/>
      <c r="H8" s="12"/>
      <c r="I8" s="12"/>
      <c r="J8" s="6">
        <f t="shared" si="1"/>
        <v>-1</v>
      </c>
    </row>
    <row r="9" spans="1:16" x14ac:dyDescent="0.2">
      <c r="A9" s="19" t="str">
        <f t="shared" si="0"/>
        <v/>
      </c>
      <c r="B9" s="12"/>
      <c r="C9" s="18"/>
      <c r="D9" s="11"/>
      <c r="E9" s="11"/>
      <c r="F9" s="11"/>
      <c r="G9" s="12"/>
      <c r="H9" s="12"/>
      <c r="I9" s="12"/>
      <c r="J9" s="6">
        <f t="shared" si="1"/>
        <v>-1</v>
      </c>
    </row>
    <row r="10" spans="1:16" x14ac:dyDescent="0.2">
      <c r="A10" s="19" t="str">
        <f t="shared" si="0"/>
        <v/>
      </c>
      <c r="B10" s="12"/>
      <c r="C10" s="18"/>
      <c r="D10" s="11"/>
      <c r="E10" s="11"/>
      <c r="F10" s="11"/>
      <c r="G10" s="12"/>
      <c r="H10" s="12"/>
      <c r="I10" s="12"/>
      <c r="J10" s="6">
        <f t="shared" si="1"/>
        <v>-1</v>
      </c>
    </row>
    <row r="11" spans="1:16" x14ac:dyDescent="0.2">
      <c r="A11" s="19" t="str">
        <f t="shared" si="0"/>
        <v/>
      </c>
      <c r="B11" s="12"/>
      <c r="C11" s="18"/>
      <c r="D11" s="11"/>
      <c r="E11" s="11"/>
      <c r="F11" s="11"/>
      <c r="G11" s="12"/>
      <c r="H11" s="12"/>
      <c r="I11" s="12"/>
      <c r="J11" s="6">
        <f t="shared" si="1"/>
        <v>-1</v>
      </c>
    </row>
    <row r="12" spans="1:16" x14ac:dyDescent="0.2">
      <c r="A12" s="19" t="str">
        <f t="shared" si="0"/>
        <v/>
      </c>
      <c r="B12" s="12"/>
      <c r="C12" s="18"/>
      <c r="D12" s="11"/>
      <c r="E12" s="11"/>
      <c r="F12" s="11"/>
      <c r="G12" s="12"/>
      <c r="H12" s="12"/>
      <c r="I12" s="12"/>
      <c r="J12" s="6">
        <f t="shared" si="1"/>
        <v>-1</v>
      </c>
    </row>
    <row r="13" spans="1:16" x14ac:dyDescent="0.2">
      <c r="A13" s="19" t="str">
        <f t="shared" si="0"/>
        <v/>
      </c>
      <c r="B13" s="12"/>
      <c r="C13" s="18"/>
      <c r="D13" s="11"/>
      <c r="E13" s="11"/>
      <c r="F13" s="11"/>
      <c r="G13" s="12"/>
      <c r="H13" s="12"/>
      <c r="I13" s="12"/>
      <c r="J13" s="6">
        <f t="shared" si="1"/>
        <v>-1</v>
      </c>
    </row>
    <row r="14" spans="1:16" x14ac:dyDescent="0.2">
      <c r="A14" s="19" t="str">
        <f t="shared" si="0"/>
        <v/>
      </c>
      <c r="B14" s="12"/>
      <c r="C14" s="18"/>
      <c r="D14" s="11"/>
      <c r="E14" s="11"/>
      <c r="F14" s="11"/>
      <c r="G14" s="12"/>
      <c r="H14" s="12"/>
      <c r="I14" s="12"/>
      <c r="J14" s="6">
        <f t="shared" si="1"/>
        <v>-1</v>
      </c>
    </row>
    <row r="15" spans="1:16" x14ac:dyDescent="0.2">
      <c r="A15" s="19" t="str">
        <f t="shared" si="0"/>
        <v/>
      </c>
      <c r="B15" s="12"/>
      <c r="C15" s="18"/>
      <c r="D15" s="11"/>
      <c r="E15" s="11"/>
      <c r="F15" s="11"/>
      <c r="G15" s="12"/>
      <c r="H15" s="12"/>
      <c r="I15" s="12"/>
      <c r="J15" s="6">
        <f t="shared" si="1"/>
        <v>-1</v>
      </c>
    </row>
    <row r="16" spans="1:16" x14ac:dyDescent="0.2">
      <c r="A16" s="19" t="str">
        <f t="shared" si="0"/>
        <v/>
      </c>
      <c r="B16" s="12"/>
      <c r="C16" s="18"/>
      <c r="D16" s="11"/>
      <c r="E16" s="11"/>
      <c r="F16" s="11"/>
      <c r="G16" s="12"/>
      <c r="H16" s="12"/>
      <c r="I16" s="12"/>
      <c r="J16" s="6">
        <f t="shared" si="1"/>
        <v>-1</v>
      </c>
    </row>
    <row r="17" spans="1:10" x14ac:dyDescent="0.2">
      <c r="A17" s="19" t="str">
        <f t="shared" si="0"/>
        <v/>
      </c>
      <c r="B17" s="12"/>
      <c r="C17" s="18"/>
      <c r="D17" s="11"/>
      <c r="E17" s="11"/>
      <c r="F17" s="11"/>
      <c r="G17" s="12"/>
      <c r="H17" s="12"/>
      <c r="I17" s="12"/>
      <c r="J17" s="6">
        <f t="shared" si="1"/>
        <v>-1</v>
      </c>
    </row>
    <row r="18" spans="1:10" x14ac:dyDescent="0.2">
      <c r="A18" s="19" t="str">
        <f t="shared" si="0"/>
        <v/>
      </c>
      <c r="B18" s="12"/>
      <c r="C18" s="18"/>
      <c r="D18" s="11"/>
      <c r="E18" s="11"/>
      <c r="F18" s="11"/>
      <c r="G18" s="12"/>
      <c r="H18" s="12"/>
      <c r="I18" s="12"/>
      <c r="J18" s="6">
        <f t="shared" si="1"/>
        <v>-1</v>
      </c>
    </row>
    <row r="19" spans="1:10" x14ac:dyDescent="0.2">
      <c r="A19" s="19" t="str">
        <f t="shared" si="0"/>
        <v/>
      </c>
      <c r="B19" s="12"/>
      <c r="C19" s="18"/>
      <c r="D19" s="11"/>
      <c r="E19" s="11"/>
      <c r="F19" s="11"/>
      <c r="G19" s="12"/>
      <c r="H19" s="12"/>
      <c r="I19" s="12"/>
      <c r="J19" s="6">
        <f t="shared" si="1"/>
        <v>-1</v>
      </c>
    </row>
    <row r="20" spans="1:10" x14ac:dyDescent="0.2">
      <c r="A20" s="19" t="str">
        <f t="shared" si="0"/>
        <v/>
      </c>
      <c r="B20" s="12"/>
      <c r="C20" s="18"/>
      <c r="D20" s="11"/>
      <c r="E20" s="11"/>
      <c r="F20" s="11"/>
      <c r="G20" s="12"/>
      <c r="H20" s="12"/>
      <c r="I20" s="12"/>
      <c r="J20" s="6">
        <f t="shared" si="1"/>
        <v>-1</v>
      </c>
    </row>
    <row r="21" spans="1:10" x14ac:dyDescent="0.2">
      <c r="A21" s="19" t="str">
        <f t="shared" si="0"/>
        <v/>
      </c>
      <c r="B21" s="12"/>
      <c r="C21" s="18"/>
      <c r="D21" s="11"/>
      <c r="E21" s="11"/>
      <c r="F21" s="11"/>
      <c r="G21" s="12"/>
      <c r="H21" s="12"/>
      <c r="I21" s="12"/>
      <c r="J21" s="6">
        <f t="shared" si="1"/>
        <v>-1</v>
      </c>
    </row>
    <row r="22" spans="1:10" x14ac:dyDescent="0.2">
      <c r="A22" s="19" t="str">
        <f t="shared" si="0"/>
        <v/>
      </c>
      <c r="B22" s="12"/>
      <c r="C22" s="18"/>
      <c r="D22" s="11"/>
      <c r="E22" s="11"/>
      <c r="F22" s="11"/>
      <c r="G22" s="12"/>
      <c r="H22" s="12"/>
      <c r="I22" s="12"/>
      <c r="J22" s="6">
        <f t="shared" si="1"/>
        <v>-1</v>
      </c>
    </row>
    <row r="23" spans="1:10" x14ac:dyDescent="0.2">
      <c r="A23" s="19" t="str">
        <f t="shared" si="0"/>
        <v/>
      </c>
      <c r="B23" s="12"/>
      <c r="C23" s="18"/>
      <c r="D23" s="11"/>
      <c r="E23" s="11"/>
      <c r="F23" s="11"/>
      <c r="G23" s="12"/>
      <c r="H23" s="12"/>
      <c r="I23" s="12"/>
      <c r="J23" s="6">
        <f t="shared" si="1"/>
        <v>-1</v>
      </c>
    </row>
    <row r="24" spans="1:10" x14ac:dyDescent="0.2">
      <c r="A24" s="19" t="str">
        <f t="shared" si="0"/>
        <v/>
      </c>
      <c r="B24" s="12"/>
      <c r="C24" s="18"/>
      <c r="D24" s="11"/>
      <c r="E24" s="11"/>
      <c r="F24" s="11"/>
      <c r="G24" s="12"/>
      <c r="H24" s="12"/>
      <c r="I24" s="12"/>
      <c r="J24" s="6">
        <f t="shared" si="1"/>
        <v>-1</v>
      </c>
    </row>
    <row r="25" spans="1:10" x14ac:dyDescent="0.2">
      <c r="A25" s="19" t="str">
        <f t="shared" si="0"/>
        <v/>
      </c>
      <c r="B25" s="12"/>
      <c r="C25" s="18"/>
      <c r="D25" s="11"/>
      <c r="E25" s="11"/>
      <c r="F25" s="11"/>
      <c r="G25" s="12"/>
      <c r="H25" s="12"/>
      <c r="I25" s="12"/>
      <c r="J25" s="6">
        <f t="shared" si="1"/>
        <v>-1</v>
      </c>
    </row>
    <row r="26" spans="1:10" x14ac:dyDescent="0.2">
      <c r="A26" s="19" t="str">
        <f t="shared" si="0"/>
        <v/>
      </c>
      <c r="B26" s="12"/>
      <c r="C26" s="18"/>
      <c r="D26" s="11"/>
      <c r="E26" s="11"/>
      <c r="F26" s="11"/>
      <c r="G26" s="12"/>
      <c r="H26" s="12"/>
      <c r="I26" s="12"/>
      <c r="J26" s="6">
        <f t="shared" si="1"/>
        <v>-1</v>
      </c>
    </row>
    <row r="27" spans="1:10" x14ac:dyDescent="0.2">
      <c r="A27" s="19" t="str">
        <f t="shared" si="0"/>
        <v/>
      </c>
      <c r="B27" s="12"/>
      <c r="C27" s="18"/>
      <c r="D27" s="11"/>
      <c r="E27" s="11"/>
      <c r="F27" s="11"/>
      <c r="G27" s="12"/>
      <c r="H27" s="12"/>
      <c r="I27" s="12"/>
      <c r="J27" s="6">
        <f t="shared" si="1"/>
        <v>-1</v>
      </c>
    </row>
    <row r="28" spans="1:10" x14ac:dyDescent="0.2">
      <c r="A28" s="19" t="str">
        <f t="shared" si="0"/>
        <v/>
      </c>
      <c r="B28" s="12"/>
      <c r="C28" s="18"/>
      <c r="D28" s="11"/>
      <c r="E28" s="11"/>
      <c r="F28" s="11"/>
      <c r="G28" s="12"/>
      <c r="H28" s="12"/>
      <c r="I28" s="12"/>
      <c r="J28" s="6">
        <f t="shared" si="1"/>
        <v>-1</v>
      </c>
    </row>
    <row r="29" spans="1:10" x14ac:dyDescent="0.2">
      <c r="A29" s="19" t="str">
        <f t="shared" si="0"/>
        <v/>
      </c>
      <c r="B29" s="12"/>
      <c r="C29" s="18"/>
      <c r="D29" s="11"/>
      <c r="E29" s="11"/>
      <c r="F29" s="11"/>
      <c r="G29" s="12"/>
      <c r="H29" s="12"/>
      <c r="I29" s="12"/>
      <c r="J29" s="6">
        <f t="shared" si="1"/>
        <v>-1</v>
      </c>
    </row>
    <row r="30" spans="1:10" x14ac:dyDescent="0.2">
      <c r="A30" s="19" t="str">
        <f t="shared" si="0"/>
        <v/>
      </c>
      <c r="B30" s="12"/>
      <c r="C30" s="18"/>
      <c r="D30" s="11"/>
      <c r="E30" s="11"/>
      <c r="F30" s="11"/>
      <c r="G30" s="12"/>
      <c r="H30" s="12"/>
      <c r="I30" s="12"/>
      <c r="J30" s="6">
        <f t="shared" si="1"/>
        <v>-1</v>
      </c>
    </row>
    <row r="31" spans="1:10" x14ac:dyDescent="0.2">
      <c r="A31" s="10"/>
      <c r="B31" s="10"/>
      <c r="D31" s="13"/>
      <c r="E31" s="13"/>
      <c r="F31" s="13"/>
      <c r="G31" s="13"/>
      <c r="H31" s="13"/>
      <c r="I31" s="13"/>
      <c r="J31" s="4"/>
    </row>
    <row r="32" spans="1:10" x14ac:dyDescent="0.2">
      <c r="A32" s="10"/>
      <c r="B32" s="10"/>
      <c r="D32" s="13"/>
      <c r="E32" s="13"/>
      <c r="F32" s="13"/>
      <c r="G32" s="13"/>
      <c r="H32" s="13"/>
      <c r="I32" s="13"/>
      <c r="J32" s="4"/>
    </row>
    <row r="33" spans="1:10" x14ac:dyDescent="0.2">
      <c r="A33" s="14"/>
      <c r="B33" s="14"/>
      <c r="D33" s="13"/>
      <c r="E33" s="13"/>
      <c r="F33" s="13"/>
      <c r="G33" s="13"/>
      <c r="H33" s="13"/>
      <c r="I33" s="13"/>
      <c r="J33" s="4"/>
    </row>
    <row r="34" spans="1:10" x14ac:dyDescent="0.2">
      <c r="A34" s="10"/>
      <c r="B34" s="10"/>
      <c r="C34" s="10"/>
      <c r="D34" s="10"/>
      <c r="E34" s="10"/>
      <c r="F34" s="10"/>
      <c r="G34" s="10"/>
      <c r="H34" s="10"/>
      <c r="I34" s="16"/>
      <c r="J34" s="16"/>
    </row>
    <row r="35" spans="1:10" x14ac:dyDescent="0.2">
      <c r="A35" s="10"/>
      <c r="B35" s="10"/>
      <c r="D35" s="10"/>
      <c r="E35" s="10"/>
      <c r="F35" s="10"/>
      <c r="G35" s="10"/>
      <c r="H35" s="10"/>
      <c r="I35" s="10"/>
      <c r="J35" s="16"/>
    </row>
    <row r="36" spans="1:10" x14ac:dyDescent="0.2">
      <c r="A36" s="13"/>
      <c r="B36" s="13"/>
      <c r="D36" s="10"/>
      <c r="E36" s="10"/>
      <c r="F36" s="10"/>
      <c r="G36" s="10"/>
      <c r="H36" s="10"/>
      <c r="I36" s="10"/>
      <c r="J36" s="16"/>
    </row>
    <row r="37" spans="1:10" x14ac:dyDescent="0.2">
      <c r="A37" s="13"/>
      <c r="B37" s="13"/>
      <c r="D37" s="10"/>
      <c r="E37" s="10"/>
      <c r="F37" s="10"/>
      <c r="G37" s="10"/>
      <c r="H37" s="10"/>
      <c r="I37" s="10"/>
      <c r="J37" s="16"/>
    </row>
  </sheetData>
  <phoneticPr fontId="0" type="noConversion"/>
  <conditionalFormatting sqref="J1:J1048576">
    <cfRule type="cellIs" dxfId="1" priority="1" stopIfTrue="1" operator="equal">
      <formula>-1</formula>
    </cfRule>
  </conditionalFormatting>
  <pageMargins left="0.75" right="0.75" top="1" bottom="1" header="0.5" footer="0.5"/>
  <pageSetup orientation="landscape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3"/>
  <sheetViews>
    <sheetView tabSelected="1" zoomScale="190" zoomScaleNormal="190" workbookViewId="0">
      <selection activeCell="A7" sqref="A7"/>
    </sheetView>
  </sheetViews>
  <sheetFormatPr defaultRowHeight="12.75" x14ac:dyDescent="0.2"/>
  <sheetData>
    <row r="1" spans="1:6" x14ac:dyDescent="0.2">
      <c r="A1" s="23" t="s">
        <v>21</v>
      </c>
    </row>
    <row r="3" spans="1:6" x14ac:dyDescent="0.2">
      <c r="A3">
        <v>14</v>
      </c>
      <c r="B3" s="20" t="s">
        <v>13</v>
      </c>
    </row>
    <row r="4" spans="1:6" x14ac:dyDescent="0.2">
      <c r="A4">
        <v>8</v>
      </c>
      <c r="B4" s="20" t="s">
        <v>14</v>
      </c>
    </row>
    <row r="5" spans="1:6" x14ac:dyDescent="0.2">
      <c r="A5">
        <f>+A3*0.25</f>
        <v>3.5</v>
      </c>
      <c r="B5" s="20" t="s">
        <v>15</v>
      </c>
      <c r="D5" s="20" t="s">
        <v>37</v>
      </c>
    </row>
    <row r="6" spans="1:6" x14ac:dyDescent="0.2">
      <c r="A6">
        <f>SUM(A3:A5)</f>
        <v>25.5</v>
      </c>
      <c r="B6" s="20" t="s">
        <v>23</v>
      </c>
    </row>
    <row r="7" spans="1:6" x14ac:dyDescent="0.2">
      <c r="B7" s="20"/>
    </row>
    <row r="8" spans="1:6" x14ac:dyDescent="0.2">
      <c r="A8" s="25">
        <f>+A6</f>
        <v>25.5</v>
      </c>
      <c r="B8" s="20" t="s">
        <v>24</v>
      </c>
      <c r="F8" s="34" t="s">
        <v>38</v>
      </c>
    </row>
    <row r="9" spans="1:6" x14ac:dyDescent="0.2">
      <c r="A9" s="26">
        <v>0.2</v>
      </c>
      <c r="B9" s="20" t="s">
        <v>27</v>
      </c>
      <c r="D9" s="20" t="s">
        <v>37</v>
      </c>
    </row>
    <row r="10" spans="1:6" x14ac:dyDescent="0.2">
      <c r="A10" s="33">
        <f>+A8*(1+A9)</f>
        <v>30.599999999999998</v>
      </c>
      <c r="B10" s="20" t="s">
        <v>28</v>
      </c>
    </row>
    <row r="11" spans="1:6" x14ac:dyDescent="0.2">
      <c r="A11">
        <v>2.5</v>
      </c>
      <c r="B11" s="20" t="s">
        <v>16</v>
      </c>
      <c r="D11" s="20" t="s">
        <v>37</v>
      </c>
    </row>
    <row r="12" spans="1:6" x14ac:dyDescent="0.2">
      <c r="A12">
        <f>A10*A11</f>
        <v>76.5</v>
      </c>
      <c r="B12" s="20" t="s">
        <v>26</v>
      </c>
    </row>
    <row r="13" spans="1:6" x14ac:dyDescent="0.2">
      <c r="A13">
        <v>8</v>
      </c>
      <c r="B13" s="20" t="s">
        <v>22</v>
      </c>
    </row>
    <row r="14" spans="1:6" x14ac:dyDescent="0.2">
      <c r="A14">
        <f>+A12/A13</f>
        <v>9.5625</v>
      </c>
      <c r="B14" s="20" t="s">
        <v>17</v>
      </c>
      <c r="E14">
        <f>+A8</f>
        <v>25.5</v>
      </c>
    </row>
    <row r="15" spans="1:6" x14ac:dyDescent="0.2">
      <c r="A15" s="21">
        <f>A14*B15</f>
        <v>4.0263157894736841</v>
      </c>
      <c r="B15" s="22">
        <f>8/19</f>
        <v>0.42105263157894735</v>
      </c>
      <c r="C15" s="20" t="s">
        <v>18</v>
      </c>
      <c r="E15" s="30">
        <v>0.65</v>
      </c>
      <c r="F15" t="s">
        <v>32</v>
      </c>
    </row>
    <row r="16" spans="1:6" x14ac:dyDescent="0.2">
      <c r="A16" s="21">
        <f>A14*B16</f>
        <v>2.013157894736842</v>
      </c>
      <c r="B16" s="22">
        <f>4/19</f>
        <v>0.21052631578947367</v>
      </c>
      <c r="C16" s="20" t="s">
        <v>19</v>
      </c>
      <c r="E16" s="30">
        <v>0.35</v>
      </c>
      <c r="F16" t="s">
        <v>31</v>
      </c>
    </row>
    <row r="17" spans="1:8" x14ac:dyDescent="0.2">
      <c r="A17" s="21">
        <f>A14*B17</f>
        <v>3.5230263157894735</v>
      </c>
      <c r="B17" s="22">
        <f>7/19</f>
        <v>0.36842105263157893</v>
      </c>
      <c r="C17" s="20" t="s">
        <v>20</v>
      </c>
    </row>
    <row r="18" spans="1:8" x14ac:dyDescent="0.2">
      <c r="A18" s="21"/>
      <c r="B18" s="22"/>
      <c r="C18" s="20"/>
    </row>
    <row r="19" spans="1:8" x14ac:dyDescent="0.2">
      <c r="A19" s="31" t="s">
        <v>25</v>
      </c>
      <c r="B19" s="31"/>
      <c r="E19" s="25" t="s">
        <v>30</v>
      </c>
      <c r="F19" s="25"/>
      <c r="G19" s="25"/>
      <c r="H19" s="25"/>
    </row>
    <row r="20" spans="1:8" x14ac:dyDescent="0.2">
      <c r="A20" s="32">
        <f>INT(A15+0.5)</f>
        <v>4</v>
      </c>
      <c r="B20" s="31" t="s">
        <v>18</v>
      </c>
      <c r="E20" s="25">
        <f>+INT(E14*E15+1)</f>
        <v>17</v>
      </c>
      <c r="F20" s="25" t="str">
        <f>+F15</f>
        <v>bananas</v>
      </c>
      <c r="G20" s="25"/>
      <c r="H20" s="25"/>
    </row>
    <row r="21" spans="1:8" x14ac:dyDescent="0.2">
      <c r="A21" s="32">
        <f>INT(A16+0.5)</f>
        <v>2</v>
      </c>
      <c r="B21" s="31" t="s">
        <v>19</v>
      </c>
      <c r="E21" s="25">
        <f>INT(E14*E16+1)</f>
        <v>9</v>
      </c>
      <c r="F21" s="25" t="str">
        <f>+F16</f>
        <v>golden delicious apples</v>
      </c>
      <c r="G21" s="25"/>
      <c r="H21" s="25"/>
    </row>
    <row r="22" spans="1:8" x14ac:dyDescent="0.2">
      <c r="A22" s="32">
        <f>INT(A17+0.5)</f>
        <v>4</v>
      </c>
      <c r="B22" s="31" t="s">
        <v>20</v>
      </c>
    </row>
    <row r="24" spans="1:8" x14ac:dyDescent="0.2">
      <c r="A24" s="24">
        <f>+SUM(A20:A22)</f>
        <v>10</v>
      </c>
      <c r="B24" s="20" t="s">
        <v>17</v>
      </c>
    </row>
    <row r="25" spans="1:8" x14ac:dyDescent="0.2">
      <c r="A25" s="28">
        <f>A14-A24</f>
        <v>-0.4375</v>
      </c>
      <c r="B25" s="27" t="str">
        <f>IF(A24&lt;A14,"Error","OK")</f>
        <v>OK</v>
      </c>
      <c r="C25" s="29" t="str">
        <f>IF(B25="Error","Add one more pizza","")</f>
        <v/>
      </c>
    </row>
    <row r="32" spans="1:8" x14ac:dyDescent="0.2">
      <c r="A32" s="20" t="s">
        <v>39</v>
      </c>
    </row>
    <row r="33" spans="1:1" x14ac:dyDescent="0.2">
      <c r="A33" s="20" t="s">
        <v>29</v>
      </c>
    </row>
  </sheetData>
  <conditionalFormatting sqref="B25">
    <cfRule type="cellIs" dxfId="0" priority="2" stopIfTrue="1" operator="equal">
      <formula>"Error"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TABLE</vt:lpstr>
      <vt:lpstr>pizza order</vt:lpstr>
      <vt:lpstr>CubeCase</vt:lpstr>
      <vt:lpstr>home</vt:lpstr>
      <vt:lpstr>TABLE!Print_Area</vt:lpstr>
      <vt:lpstr>SORT_RANGE</vt:lpstr>
    </vt:vector>
  </TitlesOfParts>
  <Company>Southeast Technical Institute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TTL User</dc:creator>
  <cp:lastModifiedBy>Kelly Kantack</cp:lastModifiedBy>
  <cp:lastPrinted>2011-10-29T20:41:04Z</cp:lastPrinted>
  <dcterms:created xsi:type="dcterms:W3CDTF">2001-06-13T10:46:53Z</dcterms:created>
  <dcterms:modified xsi:type="dcterms:W3CDTF">2024-07-30T14:39:48Z</dcterms:modified>
</cp:coreProperties>
</file>