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0" yWindow="135" windowWidth="20730" windowHeight="9375"/>
  </bookViews>
  <sheets>
    <sheet name="Round_Generator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O3" i="1" l="1"/>
  <c r="A37" i="1" l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U17" i="1"/>
  <c r="V17" i="1"/>
  <c r="U18" i="1"/>
  <c r="V18" i="1"/>
  <c r="U19" i="1"/>
  <c r="V19" i="1"/>
  <c r="U20" i="1"/>
  <c r="V20" i="1"/>
  <c r="U21" i="1"/>
  <c r="V21" i="1"/>
  <c r="U22" i="1"/>
  <c r="V22" i="1"/>
  <c r="U23" i="1"/>
  <c r="V23" i="1"/>
  <c r="U24" i="1"/>
  <c r="V24" i="1"/>
  <c r="U25" i="1"/>
  <c r="V25" i="1"/>
  <c r="U26" i="1"/>
  <c r="V26" i="1"/>
  <c r="U27" i="1"/>
  <c r="V27" i="1"/>
  <c r="U28" i="1"/>
  <c r="V28" i="1"/>
  <c r="U29" i="1"/>
  <c r="V29" i="1"/>
  <c r="U30" i="1"/>
  <c r="V30" i="1"/>
  <c r="U31" i="1"/>
  <c r="V31" i="1"/>
  <c r="U32" i="1"/>
  <c r="V32" i="1"/>
  <c r="U33" i="1"/>
  <c r="V33" i="1"/>
  <c r="U34" i="1"/>
  <c r="V34" i="1"/>
  <c r="U35" i="1"/>
  <c r="V35" i="1"/>
  <c r="U36" i="1"/>
  <c r="V36" i="1"/>
  <c r="U37" i="1"/>
  <c r="V37" i="1"/>
  <c r="U38" i="1"/>
  <c r="V38" i="1"/>
  <c r="U39" i="1"/>
  <c r="V39" i="1"/>
  <c r="U40" i="1"/>
  <c r="V40" i="1"/>
  <c r="U41" i="1"/>
  <c r="V41" i="1"/>
  <c r="U42" i="1"/>
  <c r="V42" i="1"/>
  <c r="U43" i="1"/>
  <c r="V43" i="1"/>
  <c r="U44" i="1"/>
  <c r="V44" i="1"/>
  <c r="U45" i="1"/>
  <c r="V45" i="1"/>
  <c r="U46" i="1"/>
  <c r="V46" i="1"/>
  <c r="U47" i="1"/>
  <c r="V47" i="1"/>
  <c r="U48" i="1"/>
  <c r="V48" i="1"/>
  <c r="U49" i="1"/>
  <c r="V49" i="1"/>
  <c r="U50" i="1"/>
  <c r="V50" i="1"/>
  <c r="U51" i="1"/>
  <c r="V51" i="1"/>
  <c r="U52" i="1"/>
  <c r="V52" i="1"/>
  <c r="U53" i="1"/>
  <c r="V53" i="1"/>
  <c r="U54" i="1"/>
  <c r="V54" i="1"/>
  <c r="U55" i="1"/>
  <c r="V55" i="1"/>
  <c r="U56" i="1"/>
  <c r="V56" i="1"/>
  <c r="U57" i="1"/>
  <c r="V57" i="1"/>
  <c r="U58" i="1"/>
  <c r="V58" i="1"/>
  <c r="U59" i="1"/>
  <c r="V59" i="1"/>
  <c r="U60" i="1"/>
  <c r="V60" i="1"/>
  <c r="U61" i="1"/>
  <c r="V61" i="1"/>
  <c r="U62" i="1"/>
  <c r="V62" i="1"/>
  <c r="U63" i="1"/>
  <c r="V63" i="1"/>
  <c r="U64" i="1"/>
  <c r="V64" i="1"/>
  <c r="U65" i="1"/>
  <c r="V65" i="1"/>
  <c r="U66" i="1"/>
  <c r="V66" i="1"/>
  <c r="U67" i="1"/>
  <c r="V67" i="1"/>
  <c r="U68" i="1"/>
  <c r="V68" i="1"/>
  <c r="U69" i="1"/>
  <c r="V69" i="1"/>
  <c r="U70" i="1"/>
  <c r="V70" i="1"/>
  <c r="U71" i="1"/>
  <c r="V71" i="1"/>
  <c r="U72" i="1"/>
  <c r="V72" i="1"/>
  <c r="U73" i="1"/>
  <c r="V73" i="1"/>
  <c r="U74" i="1"/>
  <c r="V74" i="1"/>
  <c r="U75" i="1"/>
  <c r="V75" i="1"/>
  <c r="U76" i="1"/>
  <c r="V76" i="1"/>
  <c r="U77" i="1"/>
  <c r="V77" i="1"/>
  <c r="U78" i="1"/>
  <c r="V78" i="1"/>
  <c r="U79" i="1"/>
  <c r="V79" i="1"/>
  <c r="U80" i="1"/>
  <c r="V80" i="1"/>
  <c r="U81" i="1"/>
  <c r="V81" i="1"/>
  <c r="U82" i="1"/>
  <c r="V82" i="1"/>
  <c r="U83" i="1"/>
  <c r="V83" i="1"/>
  <c r="U84" i="1"/>
  <c r="V84" i="1"/>
  <c r="U85" i="1"/>
  <c r="V85" i="1"/>
  <c r="U86" i="1"/>
  <c r="V86" i="1"/>
  <c r="U87" i="1"/>
  <c r="V87" i="1"/>
  <c r="U88" i="1"/>
  <c r="V88" i="1"/>
  <c r="U89" i="1"/>
  <c r="V89" i="1"/>
  <c r="U90" i="1"/>
  <c r="V90" i="1"/>
  <c r="U91" i="1"/>
  <c r="V91" i="1"/>
  <c r="U92" i="1"/>
  <c r="V92" i="1"/>
  <c r="U93" i="1"/>
  <c r="V93" i="1"/>
  <c r="U94" i="1"/>
  <c r="V94" i="1"/>
  <c r="U95" i="1"/>
  <c r="V95" i="1"/>
  <c r="U96" i="1"/>
  <c r="V96" i="1"/>
  <c r="U97" i="1"/>
  <c r="V97" i="1"/>
  <c r="U98" i="1"/>
  <c r="V98" i="1"/>
  <c r="U99" i="1"/>
  <c r="V99" i="1"/>
  <c r="U100" i="1"/>
  <c r="V100" i="1"/>
  <c r="U101" i="1"/>
  <c r="V101" i="1"/>
  <c r="U102" i="1"/>
  <c r="V102" i="1"/>
  <c r="U103" i="1"/>
  <c r="V103" i="1"/>
  <c r="U104" i="1"/>
  <c r="V104" i="1"/>
  <c r="U105" i="1"/>
  <c r="V105" i="1"/>
  <c r="U106" i="1"/>
  <c r="V106" i="1"/>
  <c r="U107" i="1"/>
  <c r="V107" i="1"/>
  <c r="U108" i="1"/>
  <c r="V108" i="1"/>
  <c r="U109" i="1"/>
  <c r="V109" i="1"/>
  <c r="U110" i="1"/>
  <c r="V110" i="1"/>
  <c r="U111" i="1"/>
  <c r="V111" i="1"/>
  <c r="U112" i="1"/>
  <c r="V112" i="1"/>
  <c r="U113" i="1"/>
  <c r="V113" i="1"/>
  <c r="U114" i="1"/>
  <c r="V114" i="1"/>
  <c r="U115" i="1"/>
  <c r="V115" i="1"/>
  <c r="U116" i="1"/>
  <c r="V116" i="1"/>
  <c r="U117" i="1"/>
  <c r="V117" i="1"/>
  <c r="U118" i="1"/>
  <c r="V118" i="1"/>
  <c r="U119" i="1"/>
  <c r="V119" i="1"/>
  <c r="U120" i="1"/>
  <c r="V120" i="1"/>
  <c r="U121" i="1"/>
  <c r="V121" i="1"/>
  <c r="U122" i="1"/>
  <c r="V122" i="1"/>
  <c r="U123" i="1"/>
  <c r="V123" i="1"/>
  <c r="U124" i="1"/>
  <c r="V124" i="1"/>
  <c r="U125" i="1"/>
  <c r="V125" i="1"/>
  <c r="U126" i="1"/>
  <c r="V126" i="1"/>
  <c r="U127" i="1"/>
  <c r="V127" i="1"/>
  <c r="U128" i="1"/>
  <c r="V128" i="1"/>
  <c r="U129" i="1"/>
  <c r="V129" i="1"/>
  <c r="U130" i="1"/>
  <c r="V130" i="1"/>
  <c r="U131" i="1"/>
  <c r="V131" i="1"/>
  <c r="U132" i="1"/>
  <c r="V132" i="1"/>
  <c r="U133" i="1"/>
  <c r="V133" i="1"/>
  <c r="U134" i="1"/>
  <c r="V134" i="1"/>
  <c r="U135" i="1"/>
  <c r="V135" i="1"/>
  <c r="U136" i="1"/>
  <c r="V136" i="1"/>
  <c r="U137" i="1"/>
  <c r="V137" i="1"/>
  <c r="U138" i="1"/>
  <c r="V138" i="1"/>
  <c r="U139" i="1"/>
  <c r="V139" i="1"/>
  <c r="U140" i="1"/>
  <c r="V140" i="1"/>
  <c r="U141" i="1"/>
  <c r="V141" i="1"/>
  <c r="U142" i="1"/>
  <c r="V142" i="1"/>
  <c r="U143" i="1"/>
  <c r="V143" i="1"/>
  <c r="U144" i="1"/>
  <c r="V144" i="1"/>
  <c r="U145" i="1"/>
  <c r="V145" i="1"/>
  <c r="U146" i="1"/>
  <c r="V146" i="1"/>
  <c r="U147" i="1"/>
  <c r="V147" i="1"/>
  <c r="U148" i="1"/>
  <c r="V148" i="1"/>
  <c r="U149" i="1"/>
  <c r="V149" i="1"/>
  <c r="U150" i="1"/>
  <c r="V150" i="1"/>
  <c r="U151" i="1"/>
  <c r="V151" i="1"/>
  <c r="U152" i="1"/>
  <c r="V152" i="1"/>
  <c r="U153" i="1"/>
  <c r="V153" i="1"/>
  <c r="U154" i="1"/>
  <c r="V154" i="1"/>
  <c r="U155" i="1"/>
  <c r="V155" i="1"/>
  <c r="U156" i="1"/>
  <c r="V156" i="1"/>
  <c r="U157" i="1"/>
  <c r="V157" i="1"/>
  <c r="U158" i="1"/>
  <c r="V158" i="1"/>
  <c r="U159" i="1"/>
  <c r="V159" i="1"/>
  <c r="U160" i="1"/>
  <c r="V160" i="1"/>
  <c r="U161" i="1"/>
  <c r="V161" i="1"/>
  <c r="U162" i="1"/>
  <c r="V162" i="1"/>
  <c r="U163" i="1"/>
  <c r="V163" i="1"/>
  <c r="U164" i="1"/>
  <c r="V164" i="1"/>
  <c r="U165" i="1"/>
  <c r="V165" i="1"/>
  <c r="U166" i="1"/>
  <c r="V166" i="1"/>
  <c r="U167" i="1"/>
  <c r="V167" i="1"/>
  <c r="U168" i="1"/>
  <c r="V168" i="1"/>
  <c r="U169" i="1"/>
  <c r="V169" i="1"/>
  <c r="U170" i="1"/>
  <c r="V170" i="1"/>
  <c r="U171" i="1"/>
  <c r="V171" i="1"/>
  <c r="U172" i="1"/>
  <c r="V172" i="1"/>
  <c r="U173" i="1"/>
  <c r="V173" i="1"/>
  <c r="U174" i="1"/>
  <c r="V174" i="1"/>
  <c r="U175" i="1"/>
  <c r="V175" i="1"/>
  <c r="U176" i="1"/>
  <c r="V176" i="1"/>
  <c r="U177" i="1"/>
  <c r="V177" i="1"/>
  <c r="U178" i="1"/>
  <c r="V178" i="1"/>
  <c r="U179" i="1"/>
  <c r="V179" i="1"/>
  <c r="U180" i="1"/>
  <c r="V180" i="1"/>
  <c r="U181" i="1"/>
  <c r="V181" i="1"/>
  <c r="U182" i="1"/>
  <c r="V182" i="1"/>
  <c r="U183" i="1"/>
  <c r="V183" i="1"/>
  <c r="U184" i="1"/>
  <c r="V184" i="1"/>
  <c r="U185" i="1"/>
  <c r="V185" i="1"/>
  <c r="U186" i="1"/>
  <c r="V186" i="1"/>
  <c r="U187" i="1"/>
  <c r="V187" i="1"/>
  <c r="U188" i="1"/>
  <c r="V188" i="1"/>
  <c r="U189" i="1"/>
  <c r="V189" i="1"/>
  <c r="U190" i="1"/>
  <c r="V190" i="1"/>
  <c r="V5" i="1"/>
  <c r="V6" i="1"/>
  <c r="V7" i="1"/>
  <c r="V8" i="1"/>
  <c r="V9" i="1"/>
  <c r="V10" i="1"/>
  <c r="V11" i="1"/>
  <c r="V12" i="1"/>
  <c r="V13" i="1"/>
  <c r="V14" i="1"/>
  <c r="V15" i="1"/>
  <c r="V16" i="1"/>
  <c r="V4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4" i="1"/>
  <c r="A30" i="1"/>
  <c r="A31" i="1"/>
  <c r="A32" i="1"/>
  <c r="A33" i="1"/>
  <c r="A34" i="1"/>
  <c r="A35" i="1"/>
  <c r="A36" i="1"/>
  <c r="A5" i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W80" i="1" l="1"/>
  <c r="W136" i="1"/>
  <c r="W183" i="1"/>
  <c r="W167" i="1"/>
  <c r="W151" i="1"/>
  <c r="W135" i="1"/>
  <c r="W127" i="1"/>
  <c r="W115" i="1"/>
  <c r="W111" i="1"/>
  <c r="W95" i="1"/>
  <c r="W91" i="1"/>
  <c r="W87" i="1"/>
  <c r="W83" i="1"/>
  <c r="W79" i="1"/>
  <c r="W75" i="1"/>
  <c r="W71" i="1"/>
  <c r="W67" i="1"/>
  <c r="W63" i="1"/>
  <c r="W59" i="1"/>
  <c r="W55" i="1"/>
  <c r="W51" i="1"/>
  <c r="W47" i="1"/>
  <c r="W43" i="1"/>
  <c r="W39" i="1"/>
  <c r="W35" i="1"/>
  <c r="W31" i="1"/>
  <c r="W27" i="1"/>
  <c r="W23" i="1"/>
  <c r="W19" i="1"/>
  <c r="W175" i="1"/>
  <c r="W163" i="1"/>
  <c r="W147" i="1"/>
  <c r="W131" i="1"/>
  <c r="W107" i="1"/>
  <c r="W13" i="1"/>
  <c r="W187" i="1"/>
  <c r="W171" i="1"/>
  <c r="W155" i="1"/>
  <c r="W139" i="1"/>
  <c r="W123" i="1"/>
  <c r="W103" i="1"/>
  <c r="W5" i="1"/>
  <c r="W9" i="1"/>
  <c r="W179" i="1"/>
  <c r="W159" i="1"/>
  <c r="W143" i="1"/>
  <c r="W119" i="1"/>
  <c r="W99" i="1"/>
  <c r="W188" i="1"/>
  <c r="W168" i="1"/>
  <c r="W156" i="1"/>
  <c r="W124" i="1"/>
  <c r="W64" i="1"/>
  <c r="W186" i="1"/>
  <c r="W182" i="1"/>
  <c r="W178" i="1"/>
  <c r="W174" i="1"/>
  <c r="W170" i="1"/>
  <c r="W166" i="1"/>
  <c r="W162" i="1"/>
  <c r="W158" i="1"/>
  <c r="W154" i="1"/>
  <c r="W150" i="1"/>
  <c r="W146" i="1"/>
  <c r="W142" i="1"/>
  <c r="W138" i="1"/>
  <c r="W134" i="1"/>
  <c r="W130" i="1"/>
  <c r="W126" i="1"/>
  <c r="W122" i="1"/>
  <c r="W185" i="1"/>
  <c r="W177" i="1"/>
  <c r="W169" i="1"/>
  <c r="W161" i="1"/>
  <c r="W153" i="1"/>
  <c r="W145" i="1"/>
  <c r="W137" i="1"/>
  <c r="W129" i="1"/>
  <c r="W121" i="1"/>
  <c r="W113" i="1"/>
  <c r="W105" i="1"/>
  <c r="W97" i="1"/>
  <c r="W89" i="1"/>
  <c r="W81" i="1"/>
  <c r="W73" i="1"/>
  <c r="W65" i="1"/>
  <c r="W57" i="1"/>
  <c r="W49" i="1"/>
  <c r="W41" i="1"/>
  <c r="W33" i="1"/>
  <c r="W25" i="1"/>
  <c r="W17" i="1"/>
  <c r="W184" i="1"/>
  <c r="W180" i="1"/>
  <c r="W176" i="1"/>
  <c r="W172" i="1"/>
  <c r="W164" i="1"/>
  <c r="W160" i="1"/>
  <c r="W152" i="1"/>
  <c r="W148" i="1"/>
  <c r="W144" i="1"/>
  <c r="W140" i="1"/>
  <c r="W132" i="1"/>
  <c r="W128" i="1"/>
  <c r="W112" i="1"/>
  <c r="W108" i="1"/>
  <c r="W100" i="1"/>
  <c r="W96" i="1"/>
  <c r="W76" i="1"/>
  <c r="W68" i="1"/>
  <c r="W48" i="1"/>
  <c r="W44" i="1"/>
  <c r="W36" i="1"/>
  <c r="W32" i="1"/>
  <c r="W190" i="1"/>
  <c r="W11" i="1"/>
  <c r="W10" i="1"/>
  <c r="W16" i="1"/>
  <c r="W8" i="1"/>
  <c r="W189" i="1"/>
  <c r="W181" i="1"/>
  <c r="W173" i="1"/>
  <c r="W165" i="1"/>
  <c r="W157" i="1"/>
  <c r="W149" i="1"/>
  <c r="W141" i="1"/>
  <c r="W133" i="1"/>
  <c r="W125" i="1"/>
  <c r="W120" i="1"/>
  <c r="W104" i="1"/>
  <c r="W92" i="1"/>
  <c r="W88" i="1"/>
  <c r="W84" i="1"/>
  <c r="W72" i="1"/>
  <c r="W60" i="1"/>
  <c r="W56" i="1"/>
  <c r="W52" i="1"/>
  <c r="W40" i="1"/>
  <c r="W28" i="1"/>
  <c r="W24" i="1"/>
  <c r="W20" i="1"/>
  <c r="W15" i="1"/>
  <c r="W7" i="1"/>
  <c r="W116" i="1"/>
  <c r="W14" i="1"/>
  <c r="W6" i="1"/>
  <c r="W12" i="1"/>
  <c r="W54" i="1"/>
  <c r="W46" i="1"/>
  <c r="W38" i="1"/>
  <c r="W30" i="1"/>
  <c r="W22" i="1"/>
  <c r="W4" i="1"/>
  <c r="W118" i="1"/>
  <c r="W114" i="1"/>
  <c r="W110" i="1"/>
  <c r="W106" i="1"/>
  <c r="W102" i="1"/>
  <c r="W98" i="1"/>
  <c r="W94" i="1"/>
  <c r="W90" i="1"/>
  <c r="W86" i="1"/>
  <c r="W82" i="1"/>
  <c r="W78" i="1"/>
  <c r="W74" i="1"/>
  <c r="W70" i="1"/>
  <c r="W66" i="1"/>
  <c r="W62" i="1"/>
  <c r="W58" i="1"/>
  <c r="W50" i="1"/>
  <c r="W42" i="1"/>
  <c r="W34" i="1"/>
  <c r="W26" i="1"/>
  <c r="W18" i="1"/>
  <c r="W101" i="1"/>
  <c r="W77" i="1"/>
  <c r="W53" i="1"/>
  <c r="W29" i="1"/>
  <c r="W117" i="1"/>
  <c r="W93" i="1"/>
  <c r="W69" i="1"/>
  <c r="W45" i="1"/>
  <c r="W21" i="1"/>
  <c r="W109" i="1"/>
  <c r="W85" i="1"/>
  <c r="W61" i="1"/>
  <c r="W37" i="1"/>
  <c r="A2" i="1"/>
  <c r="P2" i="1" s="1"/>
  <c r="S4" i="1"/>
  <c r="W3" i="1" l="1"/>
</calcChain>
</file>

<file path=xl/sharedStrings.xml><?xml version="1.0" encoding="utf-8"?>
<sst xmlns="http://schemas.openxmlformats.org/spreadsheetml/2006/main" count="142" uniqueCount="65">
  <si>
    <t>TeamCode</t>
  </si>
  <si>
    <t>BRO A</t>
  </si>
  <si>
    <t>BRO B</t>
  </si>
  <si>
    <t>BRO C</t>
  </si>
  <si>
    <t>BRO D</t>
  </si>
  <si>
    <t>BRO E</t>
  </si>
  <si>
    <t>BRO F</t>
  </si>
  <si>
    <t>BRO G</t>
  </si>
  <si>
    <t>BRO N</t>
  </si>
  <si>
    <t>BRO S</t>
  </si>
  <si>
    <t>BRO I</t>
  </si>
  <si>
    <t>BRO X</t>
  </si>
  <si>
    <t>TV</t>
  </si>
  <si>
    <t>STM A</t>
  </si>
  <si>
    <t>STM B</t>
  </si>
  <si>
    <t>PRK</t>
  </si>
  <si>
    <t>GSFHSA A</t>
  </si>
  <si>
    <t>GSFHSA B</t>
  </si>
  <si>
    <t>Round</t>
  </si>
  <si>
    <t>Team1</t>
  </si>
  <si>
    <t>Team2</t>
  </si>
  <si>
    <t>Name</t>
  </si>
  <si>
    <t>Random</t>
  </si>
  <si>
    <t>Room</t>
  </si>
  <si>
    <t>bob1</t>
  </si>
  <si>
    <t>bob2</t>
  </si>
  <si>
    <t>bob3</t>
  </si>
  <si>
    <t>bob4</t>
  </si>
  <si>
    <t>bob5</t>
  </si>
  <si>
    <t>bob6</t>
  </si>
  <si>
    <t>bob7</t>
  </si>
  <si>
    <t>bob8</t>
  </si>
  <si>
    <t>bob9</t>
  </si>
  <si>
    <t/>
  </si>
  <si>
    <t>School code</t>
  </si>
  <si>
    <t>A</t>
  </si>
  <si>
    <t>C</t>
  </si>
  <si>
    <t>D</t>
  </si>
  <si>
    <t>E</t>
  </si>
  <si>
    <t>F</t>
  </si>
  <si>
    <t>G</t>
  </si>
  <si>
    <t>internal round</t>
  </si>
  <si>
    <t>Minimum interschool rounds:</t>
  </si>
  <si>
    <t>Interschool Round Minimizer</t>
  </si>
  <si>
    <t>How many rounds can I try? (2 per second)</t>
  </si>
  <si>
    <t>Algorithm Results</t>
  </si>
  <si>
    <t>Rounds Tested</t>
  </si>
  <si>
    <t>A1</t>
  </si>
  <si>
    <t>B1</t>
  </si>
  <si>
    <t>C1</t>
  </si>
  <si>
    <t>D1</t>
  </si>
  <si>
    <t>E1</t>
  </si>
  <si>
    <t>F1</t>
  </si>
  <si>
    <t>G1</t>
  </si>
  <si>
    <t>I</t>
  </si>
  <si>
    <t>J</t>
  </si>
  <si>
    <t>K</t>
  </si>
  <si>
    <t>L</t>
  </si>
  <si>
    <t>B</t>
  </si>
  <si>
    <t>H</t>
  </si>
  <si>
    <t>H1</t>
  </si>
  <si>
    <t>I1</t>
  </si>
  <si>
    <t>J1</t>
  </si>
  <si>
    <t>K1</t>
  </si>
  <si>
    <t>L1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</si>
</sst>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;;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0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4" fillId="4" borderId="0" xfId="0" applyFont="1" applyFill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9" xfId="0" applyFill="1" applyBorder="1"/>
    <xf numFmtId="0" fontId="0" fillId="3" borderId="8" xfId="0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7" fillId="3" borderId="1" xfId="0" applyFont="1" applyFill="1" applyBorder="1" applyAlignment="1">
      <alignment horizontal="center"/>
    </xf>
    <xf numFmtId="1" fontId="7" fillId="3" borderId="1" xfId="1" applyNumberFormat="1" applyFont="1" applyFill="1" applyBorder="1" applyAlignment="1">
      <alignment horizontal="center"/>
    </xf>
    <xf numFmtId="164" fontId="0" fillId="0" borderId="0" xfId="0" applyNumberFormat="1"/>
    <xf numFmtId="0" fontId="3" fillId="6" borderId="0" xfId="0" applyFont="1" applyFill="1"/>
    <xf numFmtId="0" fontId="4" fillId="6" borderId="1" xfId="0" applyFont="1" applyFill="1" applyBorder="1" applyAlignment="1">
      <alignment horizontal="center"/>
    </xf>
    <xf numFmtId="0" fontId="0" fillId="7" borderId="1" xfId="0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5" borderId="1" xfId="0" applyFill="1" applyBorder="1" applyAlignment="1" applyProtection="1">
      <alignment horizontal="center"/>
      <protection locked="0"/>
    </xf>
    <xf numFmtId="0" fontId="1" fillId="2" borderId="1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CC66"/>
      <color rgb="FF00CC00"/>
      <color rgb="FF66FFCC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99060</xdr:colOff>
      <xdr:row>1</xdr:row>
      <xdr:rowOff>30480</xdr:rowOff>
    </xdr:from>
    <xdr:to>
      <xdr:col>12</xdr:col>
      <xdr:colOff>495300</xdr:colOff>
      <xdr:row>3</xdr:row>
      <xdr:rowOff>142875</xdr:rowOff>
    </xdr:to>
    <xdr:sp macro="[0]!Generate_Round" textlink="">
      <xdr:nvSpPr>
        <xdr:cNvPr id="2" name="Rounded Rectangle 1"/>
        <xdr:cNvSpPr/>
      </xdr:nvSpPr>
      <xdr:spPr>
        <a:xfrm>
          <a:off x="5227320" y="213360"/>
          <a:ext cx="2918460" cy="48768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Generate Pairings</a:t>
          </a:r>
        </a:p>
      </xdr:txBody>
    </xdr:sp>
    <xdr:clientData/>
  </xdr:twoCellAnchor>
  <xdr:twoCellAnchor>
    <xdr:from>
      <xdr:col>8</xdr:col>
      <xdr:colOff>182881</xdr:colOff>
      <xdr:row>3</xdr:row>
      <xdr:rowOff>0</xdr:rowOff>
    </xdr:from>
    <xdr:to>
      <xdr:col>8</xdr:col>
      <xdr:colOff>182881</xdr:colOff>
      <xdr:row>3</xdr:row>
      <xdr:rowOff>0</xdr:rowOff>
    </xdr:to>
    <xdr:sp macro="" textlink="">
      <xdr:nvSpPr>
        <xdr:cNvPr id="3" name="Rounded Rectangle 2"/>
        <xdr:cNvSpPr/>
      </xdr:nvSpPr>
      <xdr:spPr>
        <a:xfrm>
          <a:off x="5250181" y="548640"/>
          <a:ext cx="0" cy="0"/>
        </a:xfrm>
        <a:prstGeom prst="round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8</xdr:col>
      <xdr:colOff>45720</xdr:colOff>
      <xdr:row>18</xdr:row>
      <xdr:rowOff>123825</xdr:rowOff>
    </xdr:from>
    <xdr:to>
      <xdr:col>12</xdr:col>
      <xdr:colOff>541020</xdr:colOff>
      <xdr:row>21</xdr:row>
      <xdr:rowOff>171450</xdr:rowOff>
    </xdr:to>
    <xdr:sp macro="[0]!GRS" textlink="">
      <xdr:nvSpPr>
        <xdr:cNvPr id="4" name="Rounded Rectangle 3"/>
        <xdr:cNvSpPr/>
      </xdr:nvSpPr>
      <xdr:spPr>
        <a:xfrm>
          <a:off x="5173980" y="3566160"/>
          <a:ext cx="3017520" cy="62484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Perform</a:t>
          </a:r>
          <a:r>
            <a:rPr lang="en-US" sz="1400" b="1" baseline="0"/>
            <a:t> Algorithm</a:t>
          </a:r>
          <a:endParaRPr lang="en-US" sz="14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90"/>
  <sheetViews>
    <sheetView tabSelected="1" workbookViewId="0"/>
  </sheetViews>
  <sheetFormatPr defaultRowHeight="15" x14ac:dyDescent="0.25"/>
  <cols>
    <col min="1" max="1" width="9.7109375" bestFit="1" customWidth="1"/>
    <col min="2" max="2" width="8.85546875" style="22"/>
    <col min="3" max="3" width="11.7109375" style="22" customWidth="1"/>
    <col min="5" max="5" width="8.85546875" style="1"/>
    <col min="10" max="10" width="10.140625" customWidth="1"/>
    <col min="13" max="13" width="8.7109375" customWidth="1"/>
    <col min="14" max="14" width="6.7109375" customWidth="1"/>
    <col min="15" max="23" width="8.85546875" hidden="1" customWidth="1"/>
  </cols>
  <sheetData>
    <row r="1" spans="1:23" ht="14.45" x14ac:dyDescent="0.3">
      <c r="B1"/>
      <c r="C1"/>
      <c r="E1"/>
    </row>
    <row r="2" spans="1:23" ht="14.45" x14ac:dyDescent="0.3">
      <c r="A2" s="18">
        <f>MAX(A4:A2000)</f>
        <v>12</v>
      </c>
      <c r="B2"/>
      <c r="C2"/>
      <c r="E2" s="4"/>
      <c r="F2" s="24" t="s">
        <v>18</v>
      </c>
      <c r="G2" s="24"/>
      <c r="O2" s="2"/>
      <c r="P2" s="2">
        <f>A2</f>
        <v>12</v>
      </c>
      <c r="Q2" s="2"/>
      <c r="R2" s="2"/>
      <c r="S2" s="2"/>
      <c r="W2" t="s">
        <v>41</v>
      </c>
    </row>
    <row r="3" spans="1:23" x14ac:dyDescent="0.25">
      <c r="A3" s="19" t="s">
        <v>0</v>
      </c>
      <c r="B3" s="19" t="s">
        <v>21</v>
      </c>
      <c r="C3" s="19" t="s">
        <v>34</v>
      </c>
      <c r="E3" s="4" t="s">
        <v>23</v>
      </c>
      <c r="F3" s="4" t="s">
        <v>19</v>
      </c>
      <c r="G3" s="4" t="s">
        <v>20</v>
      </c>
      <c r="O3" s="2">
        <f>COUNTIF(P4:P20,"&gt;0")</f>
        <v>0</v>
      </c>
      <c r="R3" s="2"/>
      <c r="S3" s="2" t="s">
        <v>22</v>
      </c>
      <c r="W3" s="5">
        <f>SUM(W4:W280)</f>
        <v>0</v>
      </c>
    </row>
    <row r="4" spans="1:23" x14ac:dyDescent="0.25">
      <c r="A4" s="20">
        <v>1</v>
      </c>
      <c r="B4" s="21" t="s">
        <v>47</v>
      </c>
      <c r="C4" s="21" t="s">
        <v>35</v>
      </c>
      <c r="E4" s="3">
        <f>IF(AND(F4&lt;&gt;"",G4&lt;&gt;""),ROW(D1),IF(F4&lt;&gt;"","BYE",""))</f>
        <v>1</v>
      </c>
      <c r="F4" s="3" t="s">
        <v>64</v>
      </c>
      <c r="G4" s="3" t="s">
        <v>62</v>
      </c>
      <c r="O4" s="2"/>
      <c r="R4" s="2"/>
      <c r="S4" s="2">
        <f ca="1">ROUND(RAND()*O3+0.499999,0)</f>
        <v>0</v>
      </c>
      <c r="U4" t="str">
        <f>IFERROR(LOOKUP(F4,$B$4:$B$290,$C$4:$C$290),"")</f>
        <v>L</v>
      </c>
      <c r="V4" t="str">
        <f>IFERROR(LOOKUP(G4,$B$4:$B$290,$C$4:$C$290),"")</f>
        <v>J</v>
      </c>
      <c r="W4">
        <f>IF(AND(U4=V4,U4&lt;&gt;""),1,0)</f>
        <v>0</v>
      </c>
    </row>
    <row r="5" spans="1:23" x14ac:dyDescent="0.25">
      <c r="A5" s="20">
        <f>IF(B5&lt;&gt;"",A4+1,"")</f>
        <v>2</v>
      </c>
      <c r="B5" s="21" t="s">
        <v>48</v>
      </c>
      <c r="C5" s="21" t="s">
        <v>58</v>
      </c>
      <c r="E5" s="3">
        <f t="shared" ref="E5:E29" si="0">IF(AND(F5&lt;&gt;"",G5&lt;&gt;""),ROW(D2),IF(F5&lt;&gt;"","BYE",""))</f>
        <v>2</v>
      </c>
      <c r="F5" s="3" t="s">
        <v>51</v>
      </c>
      <c r="G5" s="3" t="s">
        <v>60</v>
      </c>
      <c r="O5" s="2"/>
      <c r="R5" s="2"/>
      <c r="S5" s="2"/>
      <c r="U5" t="str">
        <f t="shared" ref="U5:U16" si="1">IFERROR(LOOKUP(F5,B$4:B$290,C$4:C$290),"")</f>
        <v>E</v>
      </c>
      <c r="V5" t="str">
        <f t="shared" ref="V5:V16" si="2">IFERROR(LOOKUP(G5,$B$4:$B$290,$C$4:$C$290),"")</f>
        <v>H</v>
      </c>
      <c r="W5">
        <f t="shared" ref="W5:W68" si="3">IF(AND(U5=V5,U5&lt;&gt;""),1,0)</f>
        <v>0</v>
      </c>
    </row>
    <row r="6" spans="1:23" x14ac:dyDescent="0.25">
      <c r="A6" s="20">
        <f t="shared" ref="A6:A69" si="4">IF(B6&lt;&gt;"",A5+1,"")</f>
        <v>3</v>
      </c>
      <c r="B6" s="21" t="s">
        <v>49</v>
      </c>
      <c r="C6" s="21" t="s">
        <v>36</v>
      </c>
      <c r="E6" s="3">
        <f t="shared" si="0"/>
        <v>3</v>
      </c>
      <c r="F6" s="3" t="s">
        <v>61</v>
      </c>
      <c r="G6" s="3" t="s">
        <v>52</v>
      </c>
      <c r="O6" s="2"/>
      <c r="R6" s="2"/>
      <c r="S6" s="2"/>
      <c r="U6" t="str">
        <f t="shared" si="1"/>
        <v>I</v>
      </c>
      <c r="V6" t="str">
        <f t="shared" si="2"/>
        <v>F</v>
      </c>
      <c r="W6">
        <f t="shared" si="3"/>
        <v>0</v>
      </c>
    </row>
    <row r="7" spans="1:23" x14ac:dyDescent="0.25">
      <c r="A7" s="20">
        <f t="shared" si="4"/>
        <v>4</v>
      </c>
      <c r="B7" s="21" t="s">
        <v>50</v>
      </c>
      <c r="C7" s="21" t="s">
        <v>37</v>
      </c>
      <c r="E7" s="3">
        <f t="shared" si="0"/>
        <v>4</v>
      </c>
      <c r="F7" s="3" t="s">
        <v>49</v>
      </c>
      <c r="G7" s="3" t="s">
        <v>50</v>
      </c>
      <c r="O7" s="2"/>
      <c r="R7" s="2"/>
      <c r="S7" s="2"/>
      <c r="U7" t="str">
        <f t="shared" si="1"/>
        <v>C</v>
      </c>
      <c r="V7" t="str">
        <f t="shared" si="2"/>
        <v>D</v>
      </c>
      <c r="W7">
        <f t="shared" si="3"/>
        <v>0</v>
      </c>
    </row>
    <row r="8" spans="1:23" x14ac:dyDescent="0.25">
      <c r="A8" s="20">
        <f t="shared" si="4"/>
        <v>5</v>
      </c>
      <c r="B8" s="21" t="s">
        <v>51</v>
      </c>
      <c r="C8" s="21" t="s">
        <v>38</v>
      </c>
      <c r="E8" s="3">
        <f t="shared" si="0"/>
        <v>5</v>
      </c>
      <c r="F8" s="3" t="s">
        <v>48</v>
      </c>
      <c r="G8" s="3" t="s">
        <v>63</v>
      </c>
      <c r="O8" s="2"/>
      <c r="R8" s="2"/>
      <c r="S8" s="2"/>
      <c r="U8" t="str">
        <f t="shared" si="1"/>
        <v>B</v>
      </c>
      <c r="V8" t="str">
        <f t="shared" si="2"/>
        <v>K</v>
      </c>
      <c r="W8">
        <f t="shared" si="3"/>
        <v>0</v>
      </c>
    </row>
    <row r="9" spans="1:23" x14ac:dyDescent="0.25">
      <c r="A9" s="20">
        <f t="shared" si="4"/>
        <v>6</v>
      </c>
      <c r="B9" s="21" t="s">
        <v>52</v>
      </c>
      <c r="C9" s="21" t="s">
        <v>39</v>
      </c>
      <c r="E9" s="3">
        <f t="shared" si="0"/>
        <v>6</v>
      </c>
      <c r="F9" s="3" t="s">
        <v>47</v>
      </c>
      <c r="G9" s="3" t="s">
        <v>53</v>
      </c>
      <c r="O9" s="2"/>
      <c r="R9" s="2"/>
      <c r="S9" s="2"/>
      <c r="U9" t="str">
        <f t="shared" si="1"/>
        <v>A</v>
      </c>
      <c r="V9" t="str">
        <f t="shared" si="2"/>
        <v>G</v>
      </c>
      <c r="W9">
        <f t="shared" si="3"/>
        <v>0</v>
      </c>
    </row>
    <row r="10" spans="1:23" x14ac:dyDescent="0.25">
      <c r="A10" s="20">
        <f t="shared" si="4"/>
        <v>7</v>
      </c>
      <c r="B10" s="21" t="s">
        <v>53</v>
      </c>
      <c r="C10" s="21" t="s">
        <v>40</v>
      </c>
      <c r="E10" s="3" t="str">
        <f t="shared" si="0"/>
        <v/>
      </c>
      <c r="F10" s="3"/>
      <c r="G10" s="3"/>
      <c r="O10" s="2"/>
      <c r="R10" s="2"/>
      <c r="S10" s="2"/>
      <c r="U10" t="str">
        <f t="shared" si="1"/>
        <v/>
      </c>
      <c r="V10" t="str">
        <f t="shared" si="2"/>
        <v/>
      </c>
      <c r="W10">
        <f t="shared" si="3"/>
        <v>0</v>
      </c>
    </row>
    <row r="11" spans="1:23" x14ac:dyDescent="0.25">
      <c r="A11" s="20">
        <f t="shared" si="4"/>
        <v>8</v>
      </c>
      <c r="B11" s="21" t="s">
        <v>60</v>
      </c>
      <c r="C11" s="21" t="s">
        <v>59</v>
      </c>
      <c r="E11" s="3" t="str">
        <f t="shared" si="0"/>
        <v/>
      </c>
      <c r="F11" s="3"/>
      <c r="G11" s="3"/>
      <c r="O11" s="2"/>
      <c r="R11" s="2"/>
      <c r="S11" s="2"/>
      <c r="U11" t="str">
        <f t="shared" si="1"/>
        <v/>
      </c>
      <c r="V11" t="str">
        <f t="shared" si="2"/>
        <v/>
      </c>
      <c r="W11">
        <f t="shared" si="3"/>
        <v>0</v>
      </c>
    </row>
    <row r="12" spans="1:23" x14ac:dyDescent="0.25">
      <c r="A12" s="20">
        <f t="shared" si="4"/>
        <v>9</v>
      </c>
      <c r="B12" s="21" t="s">
        <v>61</v>
      </c>
      <c r="C12" s="21" t="s">
        <v>54</v>
      </c>
      <c r="E12" s="3" t="str">
        <f t="shared" si="0"/>
        <v/>
      </c>
      <c r="F12" s="3"/>
      <c r="G12" s="3"/>
      <c r="O12" s="2"/>
      <c r="R12" s="2"/>
      <c r="S12" s="2"/>
      <c r="U12" t="str">
        <f t="shared" si="1"/>
        <v/>
      </c>
      <c r="V12" t="str">
        <f t="shared" si="2"/>
        <v/>
      </c>
      <c r="W12">
        <f t="shared" si="3"/>
        <v>0</v>
      </c>
    </row>
    <row r="13" spans="1:23" x14ac:dyDescent="0.25">
      <c r="A13" s="20">
        <f t="shared" si="4"/>
        <v>10</v>
      </c>
      <c r="B13" s="21" t="s">
        <v>62</v>
      </c>
      <c r="C13" s="21" t="s">
        <v>55</v>
      </c>
      <c r="E13" s="3" t="str">
        <f t="shared" si="0"/>
        <v/>
      </c>
      <c r="F13" s="3"/>
      <c r="G13" s="3"/>
      <c r="O13" s="2"/>
      <c r="R13" s="2"/>
      <c r="S13" s="2"/>
      <c r="U13" t="str">
        <f t="shared" si="1"/>
        <v/>
      </c>
      <c r="V13" t="str">
        <f t="shared" si="2"/>
        <v/>
      </c>
      <c r="W13">
        <f t="shared" si="3"/>
        <v>0</v>
      </c>
    </row>
    <row r="14" spans="1:23" ht="15.75" thickBot="1" x14ac:dyDescent="0.3">
      <c r="A14" s="20">
        <f t="shared" si="4"/>
        <v>11</v>
      </c>
      <c r="B14" s="21" t="s">
        <v>63</v>
      </c>
      <c r="C14" s="21" t="s">
        <v>56</v>
      </c>
      <c r="E14" s="3" t="str">
        <f t="shared" si="0"/>
        <v/>
      </c>
      <c r="F14" s="3"/>
      <c r="G14" s="3"/>
      <c r="O14" s="2"/>
      <c r="R14" s="2"/>
      <c r="S14" s="2"/>
      <c r="U14" t="str">
        <f t="shared" si="1"/>
        <v/>
      </c>
      <c r="V14" t="str">
        <f t="shared" si="2"/>
        <v/>
      </c>
      <c r="W14">
        <f t="shared" si="3"/>
        <v>0</v>
      </c>
    </row>
    <row r="15" spans="1:23" x14ac:dyDescent="0.25">
      <c r="A15" s="20">
        <f t="shared" si="4"/>
        <v>12</v>
      </c>
      <c r="B15" s="21" t="s">
        <v>64</v>
      </c>
      <c r="C15" s="21" t="s">
        <v>57</v>
      </c>
      <c r="E15" s="3" t="str">
        <f t="shared" si="0"/>
        <v/>
      </c>
      <c r="F15" s="3"/>
      <c r="G15" s="3"/>
      <c r="I15" s="28" t="s">
        <v>43</v>
      </c>
      <c r="J15" s="29"/>
      <c r="K15" s="29"/>
      <c r="L15" s="29"/>
      <c r="M15" s="30"/>
      <c r="O15" s="2"/>
      <c r="R15" s="2"/>
      <c r="S15" s="2"/>
      <c r="U15" t="str">
        <f t="shared" si="1"/>
        <v/>
      </c>
      <c r="V15" t="str">
        <f t="shared" si="2"/>
        <v/>
      </c>
      <c r="W15">
        <f t="shared" si="3"/>
        <v>0</v>
      </c>
    </row>
    <row r="16" spans="1:23" ht="15.75" thickBot="1" x14ac:dyDescent="0.3">
      <c r="A16" s="20"/>
      <c r="B16" s="21"/>
      <c r="C16" s="21"/>
      <c r="E16" s="3" t="str">
        <f t="shared" si="0"/>
        <v/>
      </c>
      <c r="F16" s="3"/>
      <c r="G16" s="3"/>
      <c r="I16" s="31"/>
      <c r="J16" s="32"/>
      <c r="K16" s="32"/>
      <c r="L16" s="32"/>
      <c r="M16" s="33"/>
      <c r="O16" s="2"/>
      <c r="R16" s="2"/>
      <c r="S16" s="2"/>
      <c r="U16" t="str">
        <f t="shared" si="1"/>
        <v/>
      </c>
      <c r="V16" t="str">
        <f t="shared" si="2"/>
        <v/>
      </c>
      <c r="W16">
        <f t="shared" si="3"/>
        <v>0</v>
      </c>
    </row>
    <row r="17" spans="1:23" x14ac:dyDescent="0.25">
      <c r="A17" s="20"/>
      <c r="B17" s="21"/>
      <c r="C17" s="21"/>
      <c r="E17" s="3" t="str">
        <f t="shared" si="0"/>
        <v/>
      </c>
      <c r="F17" s="3"/>
      <c r="G17" s="3"/>
      <c r="I17" s="7"/>
      <c r="J17" s="8"/>
      <c r="K17" s="8"/>
      <c r="L17" s="8"/>
      <c r="M17" s="9"/>
      <c r="O17" s="2"/>
      <c r="R17" s="2"/>
      <c r="S17" s="2"/>
      <c r="U17" t="str">
        <f t="shared" ref="U17:U80" si="5">IFERROR(LOOKUP(F17,B$4:B$290,C$4:C$290),"")</f>
        <v/>
      </c>
      <c r="V17" t="str">
        <f t="shared" ref="V17:V80" si="6">IFERROR(LOOKUP(G17,$B$4:$B$290,$C$4:$C$290),"")</f>
        <v/>
      </c>
      <c r="W17">
        <f t="shared" si="3"/>
        <v>0</v>
      </c>
    </row>
    <row r="18" spans="1:23" x14ac:dyDescent="0.25">
      <c r="A18" s="20"/>
      <c r="B18" s="21"/>
      <c r="C18" s="21"/>
      <c r="E18" s="3" t="str">
        <f t="shared" si="0"/>
        <v/>
      </c>
      <c r="F18" s="3"/>
      <c r="G18" s="3"/>
      <c r="I18" s="25" t="s">
        <v>44</v>
      </c>
      <c r="J18" s="26"/>
      <c r="K18" s="26"/>
      <c r="L18" s="26"/>
      <c r="M18" s="23">
        <v>4</v>
      </c>
      <c r="O18" s="2"/>
      <c r="P18" t="s">
        <v>33</v>
      </c>
      <c r="R18" s="2"/>
      <c r="S18" s="2"/>
      <c r="U18" t="str">
        <f t="shared" si="5"/>
        <v/>
      </c>
      <c r="V18" t="str">
        <f t="shared" si="6"/>
        <v/>
      </c>
      <c r="W18">
        <f t="shared" si="3"/>
        <v>0</v>
      </c>
    </row>
    <row r="19" spans="1:23" x14ac:dyDescent="0.25">
      <c r="A19" s="20"/>
      <c r="B19" s="21"/>
      <c r="C19" s="21"/>
      <c r="E19" s="3" t="str">
        <f t="shared" si="0"/>
        <v/>
      </c>
      <c r="F19" s="3"/>
      <c r="G19" s="3"/>
      <c r="I19" s="11"/>
      <c r="J19" s="12"/>
      <c r="K19" s="12"/>
      <c r="L19" s="12"/>
      <c r="M19" s="10"/>
      <c r="O19" s="2"/>
      <c r="P19" t="s">
        <v>33</v>
      </c>
      <c r="R19" s="2"/>
      <c r="S19" s="2"/>
      <c r="U19" t="str">
        <f t="shared" si="5"/>
        <v/>
      </c>
      <c r="V19" t="str">
        <f t="shared" si="6"/>
        <v/>
      </c>
      <c r="W19">
        <f t="shared" si="3"/>
        <v>0</v>
      </c>
    </row>
    <row r="20" spans="1:23" x14ac:dyDescent="0.25">
      <c r="A20" s="20"/>
      <c r="B20" s="21"/>
      <c r="C20" s="21"/>
      <c r="E20" s="3" t="str">
        <f t="shared" si="0"/>
        <v/>
      </c>
      <c r="F20" s="3"/>
      <c r="G20" s="3"/>
      <c r="I20" s="11"/>
      <c r="J20" s="12"/>
      <c r="K20" s="12"/>
      <c r="L20" s="12"/>
      <c r="M20" s="10"/>
      <c r="O20" s="2"/>
      <c r="P20" t="s">
        <v>33</v>
      </c>
      <c r="R20" s="2"/>
      <c r="S20" s="2"/>
      <c r="U20" t="str">
        <f t="shared" si="5"/>
        <v/>
      </c>
      <c r="V20" t="str">
        <f t="shared" si="6"/>
        <v/>
      </c>
      <c r="W20">
        <f t="shared" si="3"/>
        <v>0</v>
      </c>
    </row>
    <row r="21" spans="1:23" x14ac:dyDescent="0.25">
      <c r="A21" s="20"/>
      <c r="B21" s="21"/>
      <c r="C21" s="21"/>
      <c r="E21" s="3" t="str">
        <f t="shared" si="0"/>
        <v/>
      </c>
      <c r="F21" s="3"/>
      <c r="G21" s="3"/>
      <c r="I21" s="11"/>
      <c r="J21" s="12"/>
      <c r="K21" s="12"/>
      <c r="L21" s="12"/>
      <c r="M21" s="10"/>
      <c r="O21" s="2"/>
      <c r="P21" t="s">
        <v>33</v>
      </c>
      <c r="R21" s="2"/>
      <c r="S21" s="2"/>
      <c r="U21" t="str">
        <f t="shared" si="5"/>
        <v/>
      </c>
      <c r="V21" t="str">
        <f t="shared" si="6"/>
        <v/>
      </c>
      <c r="W21">
        <f t="shared" si="3"/>
        <v>0</v>
      </c>
    </row>
    <row r="22" spans="1:23" x14ac:dyDescent="0.25">
      <c r="A22" s="20"/>
      <c r="B22" s="21"/>
      <c r="C22" s="21"/>
      <c r="E22" s="3" t="str">
        <f t="shared" si="0"/>
        <v/>
      </c>
      <c r="F22" s="3"/>
      <c r="G22" s="3"/>
      <c r="I22" s="11"/>
      <c r="J22" s="12"/>
      <c r="K22" s="12"/>
      <c r="L22" s="12"/>
      <c r="M22" s="10"/>
      <c r="O22" s="2"/>
      <c r="P22" t="s">
        <v>33</v>
      </c>
      <c r="R22" s="2"/>
      <c r="S22" s="2"/>
      <c r="U22" t="str">
        <f t="shared" si="5"/>
        <v/>
      </c>
      <c r="V22" t="str">
        <f t="shared" si="6"/>
        <v/>
      </c>
      <c r="W22">
        <f t="shared" si="3"/>
        <v>0</v>
      </c>
    </row>
    <row r="23" spans="1:23" ht="15.75" thickBot="1" x14ac:dyDescent="0.3">
      <c r="A23" s="20"/>
      <c r="B23" s="21"/>
      <c r="C23" s="21"/>
      <c r="E23" s="3" t="str">
        <f t="shared" si="0"/>
        <v/>
      </c>
      <c r="F23" s="3"/>
      <c r="G23" s="3"/>
      <c r="I23" s="13"/>
      <c r="J23" s="14"/>
      <c r="K23" s="14"/>
      <c r="L23" s="14"/>
      <c r="M23" s="15"/>
      <c r="O23" s="2"/>
      <c r="P23" t="s">
        <v>33</v>
      </c>
      <c r="R23" s="2"/>
      <c r="S23" s="2"/>
      <c r="U23" t="str">
        <f t="shared" si="5"/>
        <v/>
      </c>
      <c r="V23" t="str">
        <f t="shared" si="6"/>
        <v/>
      </c>
      <c r="W23">
        <f t="shared" si="3"/>
        <v>0</v>
      </c>
    </row>
    <row r="24" spans="1:23" x14ac:dyDescent="0.25">
      <c r="A24" s="20"/>
      <c r="B24" s="21"/>
      <c r="C24" s="21"/>
      <c r="E24" s="3" t="str">
        <f t="shared" si="0"/>
        <v/>
      </c>
      <c r="F24" s="3"/>
      <c r="G24" s="3"/>
      <c r="I24" s="34" t="s">
        <v>45</v>
      </c>
      <c r="J24" s="35"/>
      <c r="K24" s="35"/>
      <c r="L24" s="35"/>
      <c r="M24" s="36"/>
      <c r="O24" s="2"/>
      <c r="P24" t="s">
        <v>33</v>
      </c>
      <c r="R24" s="2"/>
      <c r="S24" s="2"/>
      <c r="U24" t="str">
        <f t="shared" si="5"/>
        <v/>
      </c>
      <c r="V24" t="str">
        <f t="shared" si="6"/>
        <v/>
      </c>
      <c r="W24">
        <f t="shared" si="3"/>
        <v>0</v>
      </c>
    </row>
    <row r="25" spans="1:23" ht="15.75" thickBot="1" x14ac:dyDescent="0.3">
      <c r="A25" s="20"/>
      <c r="B25" s="21"/>
      <c r="C25" s="21"/>
      <c r="E25" s="3" t="str">
        <f t="shared" si="0"/>
        <v/>
      </c>
      <c r="F25" s="3"/>
      <c r="G25" s="3"/>
      <c r="I25" s="37"/>
      <c r="J25" s="38"/>
      <c r="K25" s="38"/>
      <c r="L25" s="38"/>
      <c r="M25" s="39"/>
      <c r="O25" s="2"/>
      <c r="P25" t="s">
        <v>33</v>
      </c>
      <c r="R25" s="2"/>
      <c r="S25" s="2"/>
      <c r="U25" t="str">
        <f t="shared" si="5"/>
        <v/>
      </c>
      <c r="V25" t="str">
        <f t="shared" si="6"/>
        <v/>
      </c>
      <c r="W25">
        <f t="shared" si="3"/>
        <v>0</v>
      </c>
    </row>
    <row r="26" spans="1:23" x14ac:dyDescent="0.25">
      <c r="A26" s="20"/>
      <c r="B26" s="21"/>
      <c r="C26" s="21"/>
      <c r="E26" s="3" t="str">
        <f t="shared" si="0"/>
        <v/>
      </c>
      <c r="F26" s="3"/>
      <c r="G26" s="3"/>
      <c r="I26" s="6"/>
      <c r="J26" s="6"/>
      <c r="K26" s="6"/>
      <c r="L26" s="6"/>
      <c r="M26" s="6"/>
      <c r="O26" s="2"/>
      <c r="P26" t="s">
        <v>33</v>
      </c>
      <c r="R26" s="2"/>
      <c r="S26" s="2"/>
      <c r="U26" t="str">
        <f t="shared" si="5"/>
        <v/>
      </c>
      <c r="V26" t="str">
        <f t="shared" si="6"/>
        <v/>
      </c>
      <c r="W26">
        <f t="shared" si="3"/>
        <v>0</v>
      </c>
    </row>
    <row r="27" spans="1:23" x14ac:dyDescent="0.25">
      <c r="A27" s="20"/>
      <c r="B27" s="21"/>
      <c r="C27" s="21"/>
      <c r="E27" s="3" t="str">
        <f t="shared" si="0"/>
        <v/>
      </c>
      <c r="F27" s="3"/>
      <c r="G27" s="3"/>
      <c r="I27" s="27" t="s">
        <v>42</v>
      </c>
      <c r="J27" s="27"/>
      <c r="K27" s="27"/>
      <c r="L27" s="27"/>
      <c r="M27" s="16">
        <v>42</v>
      </c>
      <c r="O27" s="2"/>
      <c r="P27" t="s">
        <v>33</v>
      </c>
      <c r="R27" s="2"/>
      <c r="S27" s="2"/>
      <c r="U27" t="str">
        <f t="shared" si="5"/>
        <v/>
      </c>
      <c r="V27" t="str">
        <f t="shared" si="6"/>
        <v/>
      </c>
      <c r="W27">
        <f t="shared" si="3"/>
        <v>0</v>
      </c>
    </row>
    <row r="28" spans="1:23" x14ac:dyDescent="0.25">
      <c r="A28" s="20"/>
      <c r="B28" s="21"/>
      <c r="C28" s="21"/>
      <c r="E28" s="3" t="str">
        <f t="shared" si="0"/>
        <v/>
      </c>
      <c r="F28" s="3"/>
      <c r="G28" s="3"/>
      <c r="I28" s="27" t="s">
        <v>46</v>
      </c>
      <c r="J28" s="27"/>
      <c r="K28" s="27"/>
      <c r="L28" s="27"/>
      <c r="M28" s="17">
        <v>1</v>
      </c>
      <c r="O28" s="2"/>
      <c r="P28" t="s">
        <v>33</v>
      </c>
      <c r="R28" s="2"/>
      <c r="S28" s="2"/>
      <c r="U28" t="str">
        <f t="shared" si="5"/>
        <v/>
      </c>
      <c r="V28" t="str">
        <f t="shared" si="6"/>
        <v/>
      </c>
      <c r="W28">
        <f t="shared" si="3"/>
        <v>0</v>
      </c>
    </row>
    <row r="29" spans="1:23" x14ac:dyDescent="0.25">
      <c r="A29" s="20"/>
      <c r="B29" s="21"/>
      <c r="C29" s="21"/>
      <c r="E29" s="3" t="str">
        <f t="shared" si="0"/>
        <v/>
      </c>
      <c r="F29" s="3"/>
      <c r="G29" s="3"/>
      <c r="P29" t="s">
        <v>33</v>
      </c>
      <c r="U29" t="str">
        <f t="shared" si="5"/>
        <v/>
      </c>
      <c r="V29" t="str">
        <f t="shared" si="6"/>
        <v/>
      </c>
      <c r="W29">
        <f t="shared" si="3"/>
        <v>0</v>
      </c>
    </row>
    <row r="30" spans="1:23" x14ac:dyDescent="0.25">
      <c r="A30" s="20" t="str">
        <f t="shared" si="4"/>
        <v/>
      </c>
      <c r="B30" s="21"/>
      <c r="C30" s="21"/>
      <c r="P30" t="s">
        <v>33</v>
      </c>
      <c r="U30" t="str">
        <f t="shared" si="5"/>
        <v/>
      </c>
      <c r="V30" t="str">
        <f t="shared" si="6"/>
        <v/>
      </c>
      <c r="W30">
        <f t="shared" si="3"/>
        <v>0</v>
      </c>
    </row>
    <row r="31" spans="1:23" x14ac:dyDescent="0.25">
      <c r="A31" s="20" t="str">
        <f t="shared" si="4"/>
        <v/>
      </c>
      <c r="B31" s="21"/>
      <c r="C31" s="21"/>
      <c r="P31" t="s">
        <v>33</v>
      </c>
      <c r="U31" t="str">
        <f t="shared" si="5"/>
        <v/>
      </c>
      <c r="V31" t="str">
        <f t="shared" si="6"/>
        <v/>
      </c>
      <c r="W31">
        <f t="shared" si="3"/>
        <v>0</v>
      </c>
    </row>
    <row r="32" spans="1:23" x14ac:dyDescent="0.25">
      <c r="A32" s="20" t="str">
        <f t="shared" si="4"/>
        <v/>
      </c>
      <c r="B32" s="21"/>
      <c r="C32" s="21"/>
      <c r="P32" t="s">
        <v>33</v>
      </c>
      <c r="U32" t="str">
        <f t="shared" si="5"/>
        <v/>
      </c>
      <c r="V32" t="str">
        <f t="shared" si="6"/>
        <v/>
      </c>
      <c r="W32">
        <f t="shared" si="3"/>
        <v>0</v>
      </c>
    </row>
    <row r="33" spans="1:23" x14ac:dyDescent="0.25">
      <c r="A33" s="20" t="str">
        <f t="shared" si="4"/>
        <v/>
      </c>
      <c r="B33" s="21"/>
      <c r="C33" s="21"/>
      <c r="P33" t="s">
        <v>33</v>
      </c>
      <c r="U33" t="str">
        <f t="shared" si="5"/>
        <v/>
      </c>
      <c r="V33" t="str">
        <f t="shared" si="6"/>
        <v/>
      </c>
      <c r="W33">
        <f t="shared" si="3"/>
        <v>0</v>
      </c>
    </row>
    <row r="34" spans="1:23" x14ac:dyDescent="0.25">
      <c r="A34" s="20" t="str">
        <f t="shared" si="4"/>
        <v/>
      </c>
      <c r="B34" s="21"/>
      <c r="C34" s="21"/>
      <c r="P34" t="s">
        <v>33</v>
      </c>
      <c r="U34" t="str">
        <f t="shared" si="5"/>
        <v/>
      </c>
      <c r="V34" t="str">
        <f t="shared" si="6"/>
        <v/>
      </c>
      <c r="W34">
        <f t="shared" si="3"/>
        <v>0</v>
      </c>
    </row>
    <row r="35" spans="1:23" x14ac:dyDescent="0.25">
      <c r="A35" s="20" t="str">
        <f t="shared" si="4"/>
        <v/>
      </c>
      <c r="B35" s="21"/>
      <c r="C35" s="21"/>
      <c r="P35" t="s">
        <v>33</v>
      </c>
      <c r="U35" t="str">
        <f t="shared" si="5"/>
        <v/>
      </c>
      <c r="V35" t="str">
        <f t="shared" si="6"/>
        <v/>
      </c>
      <c r="W35">
        <f t="shared" si="3"/>
        <v>0</v>
      </c>
    </row>
    <row r="36" spans="1:23" x14ac:dyDescent="0.25">
      <c r="A36" s="20" t="str">
        <f t="shared" si="4"/>
        <v/>
      </c>
      <c r="B36" s="21"/>
      <c r="C36" s="21"/>
      <c r="P36" t="s">
        <v>33</v>
      </c>
      <c r="U36" t="str">
        <f t="shared" si="5"/>
        <v/>
      </c>
      <c r="V36" t="str">
        <f t="shared" si="6"/>
        <v/>
      </c>
      <c r="W36">
        <f t="shared" si="3"/>
        <v>0</v>
      </c>
    </row>
    <row r="37" spans="1:23" x14ac:dyDescent="0.25">
      <c r="A37" s="20" t="str">
        <f t="shared" si="4"/>
        <v/>
      </c>
      <c r="B37" s="21"/>
      <c r="C37" s="21"/>
      <c r="P37" t="s">
        <v>33</v>
      </c>
      <c r="U37" t="str">
        <f t="shared" si="5"/>
        <v/>
      </c>
      <c r="V37" t="str">
        <f t="shared" si="6"/>
        <v/>
      </c>
      <c r="W37">
        <f t="shared" si="3"/>
        <v>0</v>
      </c>
    </row>
    <row r="38" spans="1:23" x14ac:dyDescent="0.25">
      <c r="A38" s="20" t="str">
        <f t="shared" si="4"/>
        <v/>
      </c>
      <c r="B38" s="21"/>
      <c r="C38" s="21"/>
      <c r="P38" t="s">
        <v>33</v>
      </c>
      <c r="U38" t="str">
        <f t="shared" si="5"/>
        <v/>
      </c>
      <c r="V38" t="str">
        <f t="shared" si="6"/>
        <v/>
      </c>
      <c r="W38">
        <f t="shared" si="3"/>
        <v>0</v>
      </c>
    </row>
    <row r="39" spans="1:23" x14ac:dyDescent="0.25">
      <c r="A39" s="20" t="str">
        <f t="shared" si="4"/>
        <v/>
      </c>
      <c r="B39" s="21"/>
      <c r="C39" s="21"/>
      <c r="P39" t="s">
        <v>33</v>
      </c>
      <c r="U39" t="str">
        <f t="shared" si="5"/>
        <v/>
      </c>
      <c r="V39" t="str">
        <f t="shared" si="6"/>
        <v/>
      </c>
      <c r="W39">
        <f t="shared" si="3"/>
        <v>0</v>
      </c>
    </row>
    <row r="40" spans="1:23" x14ac:dyDescent="0.25">
      <c r="A40" s="20" t="str">
        <f t="shared" si="4"/>
        <v/>
      </c>
      <c r="B40" s="21"/>
      <c r="C40" s="21"/>
      <c r="P40" t="s">
        <v>33</v>
      </c>
      <c r="U40" t="str">
        <f t="shared" si="5"/>
        <v/>
      </c>
      <c r="V40" t="str">
        <f t="shared" si="6"/>
        <v/>
      </c>
      <c r="W40">
        <f t="shared" si="3"/>
        <v>0</v>
      </c>
    </row>
    <row r="41" spans="1:23" x14ac:dyDescent="0.25">
      <c r="A41" s="20" t="str">
        <f t="shared" si="4"/>
        <v/>
      </c>
      <c r="B41" s="21"/>
      <c r="C41" s="21"/>
      <c r="P41" t="s">
        <v>33</v>
      </c>
      <c r="U41" t="str">
        <f t="shared" si="5"/>
        <v/>
      </c>
      <c r="V41" t="str">
        <f t="shared" si="6"/>
        <v/>
      </c>
      <c r="W41">
        <f t="shared" si="3"/>
        <v>0</v>
      </c>
    </row>
    <row r="42" spans="1:23" x14ac:dyDescent="0.25">
      <c r="A42" s="20" t="str">
        <f t="shared" si="4"/>
        <v/>
      </c>
      <c r="B42" s="21"/>
      <c r="C42" s="21"/>
      <c r="P42" t="s">
        <v>33</v>
      </c>
      <c r="U42" t="str">
        <f t="shared" si="5"/>
        <v/>
      </c>
      <c r="V42" t="str">
        <f t="shared" si="6"/>
        <v/>
      </c>
      <c r="W42">
        <f t="shared" si="3"/>
        <v>0</v>
      </c>
    </row>
    <row r="43" spans="1:23" x14ac:dyDescent="0.25">
      <c r="A43" s="20" t="str">
        <f t="shared" si="4"/>
        <v/>
      </c>
      <c r="B43" s="21"/>
      <c r="C43" s="21"/>
      <c r="P43" t="s">
        <v>33</v>
      </c>
      <c r="U43" t="str">
        <f t="shared" si="5"/>
        <v/>
      </c>
      <c r="V43" t="str">
        <f t="shared" si="6"/>
        <v/>
      </c>
      <c r="W43">
        <f t="shared" si="3"/>
        <v>0</v>
      </c>
    </row>
    <row r="44" spans="1:23" x14ac:dyDescent="0.25">
      <c r="A44" s="20" t="str">
        <f t="shared" si="4"/>
        <v/>
      </c>
      <c r="B44" s="21"/>
      <c r="C44" s="21"/>
      <c r="P44" t="s">
        <v>33</v>
      </c>
      <c r="U44" t="str">
        <f t="shared" si="5"/>
        <v/>
      </c>
      <c r="V44" t="str">
        <f t="shared" si="6"/>
        <v/>
      </c>
      <c r="W44">
        <f t="shared" si="3"/>
        <v>0</v>
      </c>
    </row>
    <row r="45" spans="1:23" x14ac:dyDescent="0.25">
      <c r="A45" s="20" t="str">
        <f t="shared" si="4"/>
        <v/>
      </c>
      <c r="B45" s="21"/>
      <c r="C45" s="21"/>
      <c r="P45" t="s">
        <v>33</v>
      </c>
      <c r="U45" t="str">
        <f t="shared" si="5"/>
        <v/>
      </c>
      <c r="V45" t="str">
        <f t="shared" si="6"/>
        <v/>
      </c>
      <c r="W45">
        <f t="shared" si="3"/>
        <v>0</v>
      </c>
    </row>
    <row r="46" spans="1:23" x14ac:dyDescent="0.25">
      <c r="A46" s="20" t="str">
        <f t="shared" si="4"/>
        <v/>
      </c>
      <c r="B46" s="21"/>
      <c r="C46" s="21"/>
      <c r="P46" t="s">
        <v>33</v>
      </c>
      <c r="U46" t="str">
        <f t="shared" si="5"/>
        <v/>
      </c>
      <c r="V46" t="str">
        <f t="shared" si="6"/>
        <v/>
      </c>
      <c r="W46">
        <f t="shared" si="3"/>
        <v>0</v>
      </c>
    </row>
    <row r="47" spans="1:23" x14ac:dyDescent="0.25">
      <c r="A47" s="20" t="str">
        <f t="shared" si="4"/>
        <v/>
      </c>
      <c r="B47" s="21"/>
      <c r="C47" s="21"/>
      <c r="P47" t="s">
        <v>33</v>
      </c>
      <c r="U47" t="str">
        <f t="shared" si="5"/>
        <v/>
      </c>
      <c r="V47" t="str">
        <f t="shared" si="6"/>
        <v/>
      </c>
      <c r="W47">
        <f t="shared" si="3"/>
        <v>0</v>
      </c>
    </row>
    <row r="48" spans="1:23" x14ac:dyDescent="0.25">
      <c r="A48" s="20" t="str">
        <f t="shared" si="4"/>
        <v/>
      </c>
      <c r="B48" s="21"/>
      <c r="C48" s="21"/>
      <c r="P48" t="s">
        <v>33</v>
      </c>
      <c r="U48" t="str">
        <f t="shared" si="5"/>
        <v/>
      </c>
      <c r="V48" t="str">
        <f t="shared" si="6"/>
        <v/>
      </c>
      <c r="W48">
        <f t="shared" si="3"/>
        <v>0</v>
      </c>
    </row>
    <row r="49" spans="1:23" x14ac:dyDescent="0.25">
      <c r="A49" s="20" t="str">
        <f t="shared" si="4"/>
        <v/>
      </c>
      <c r="B49" s="21"/>
      <c r="C49" s="21"/>
      <c r="P49" t="s">
        <v>33</v>
      </c>
      <c r="U49" t="str">
        <f t="shared" si="5"/>
        <v/>
      </c>
      <c r="V49" t="str">
        <f t="shared" si="6"/>
        <v/>
      </c>
      <c r="W49">
        <f t="shared" si="3"/>
        <v>0</v>
      </c>
    </row>
    <row r="50" spans="1:23" x14ac:dyDescent="0.25">
      <c r="A50" s="20" t="str">
        <f t="shared" si="4"/>
        <v/>
      </c>
      <c r="B50" s="21"/>
      <c r="C50" s="21"/>
      <c r="P50" t="s">
        <v>33</v>
      </c>
      <c r="U50" t="str">
        <f t="shared" si="5"/>
        <v/>
      </c>
      <c r="V50" t="str">
        <f t="shared" si="6"/>
        <v/>
      </c>
      <c r="W50">
        <f t="shared" si="3"/>
        <v>0</v>
      </c>
    </row>
    <row r="51" spans="1:23" x14ac:dyDescent="0.25">
      <c r="A51" s="20" t="str">
        <f t="shared" si="4"/>
        <v/>
      </c>
      <c r="B51" s="21"/>
      <c r="C51" s="21"/>
      <c r="P51" t="s">
        <v>33</v>
      </c>
      <c r="U51" t="str">
        <f t="shared" si="5"/>
        <v/>
      </c>
      <c r="V51" t="str">
        <f t="shared" si="6"/>
        <v/>
      </c>
      <c r="W51">
        <f t="shared" si="3"/>
        <v>0</v>
      </c>
    </row>
    <row r="52" spans="1:23" x14ac:dyDescent="0.25">
      <c r="A52" s="20" t="str">
        <f t="shared" si="4"/>
        <v/>
      </c>
      <c r="B52" s="21"/>
      <c r="C52" s="21"/>
      <c r="P52" t="s">
        <v>33</v>
      </c>
      <c r="U52" t="str">
        <f t="shared" si="5"/>
        <v/>
      </c>
      <c r="V52" t="str">
        <f t="shared" si="6"/>
        <v/>
      </c>
      <c r="W52">
        <f t="shared" si="3"/>
        <v>0</v>
      </c>
    </row>
    <row r="53" spans="1:23" x14ac:dyDescent="0.25">
      <c r="A53" s="20" t="str">
        <f t="shared" si="4"/>
        <v/>
      </c>
      <c r="B53" s="21"/>
      <c r="C53" s="21"/>
      <c r="P53" t="s">
        <v>33</v>
      </c>
      <c r="U53" t="str">
        <f t="shared" si="5"/>
        <v/>
      </c>
      <c r="V53" t="str">
        <f t="shared" si="6"/>
        <v/>
      </c>
      <c r="W53">
        <f t="shared" si="3"/>
        <v>0</v>
      </c>
    </row>
    <row r="54" spans="1:23" x14ac:dyDescent="0.25">
      <c r="A54" s="20" t="str">
        <f t="shared" si="4"/>
        <v/>
      </c>
      <c r="B54" s="21"/>
      <c r="C54" s="21"/>
      <c r="P54" t="s">
        <v>33</v>
      </c>
      <c r="U54" t="str">
        <f t="shared" si="5"/>
        <v/>
      </c>
      <c r="V54" t="str">
        <f t="shared" si="6"/>
        <v/>
      </c>
      <c r="W54">
        <f t="shared" si="3"/>
        <v>0</v>
      </c>
    </row>
    <row r="55" spans="1:23" x14ac:dyDescent="0.25">
      <c r="A55" s="20" t="str">
        <f t="shared" si="4"/>
        <v/>
      </c>
      <c r="B55" s="21"/>
      <c r="C55" s="21"/>
      <c r="P55" t="s">
        <v>33</v>
      </c>
      <c r="U55" t="str">
        <f t="shared" si="5"/>
        <v/>
      </c>
      <c r="V55" t="str">
        <f t="shared" si="6"/>
        <v/>
      </c>
      <c r="W55">
        <f t="shared" si="3"/>
        <v>0</v>
      </c>
    </row>
    <row r="56" spans="1:23" x14ac:dyDescent="0.25">
      <c r="A56" s="20" t="str">
        <f t="shared" si="4"/>
        <v/>
      </c>
      <c r="B56" s="21"/>
      <c r="C56" s="21"/>
      <c r="P56" t="s">
        <v>33</v>
      </c>
      <c r="U56" t="str">
        <f t="shared" si="5"/>
        <v/>
      </c>
      <c r="V56" t="str">
        <f t="shared" si="6"/>
        <v/>
      </c>
      <c r="W56">
        <f t="shared" si="3"/>
        <v>0</v>
      </c>
    </row>
    <row r="57" spans="1:23" x14ac:dyDescent="0.25">
      <c r="A57" s="20" t="str">
        <f t="shared" si="4"/>
        <v/>
      </c>
      <c r="B57" s="21"/>
      <c r="C57" s="21"/>
      <c r="P57" t="s">
        <v>33</v>
      </c>
      <c r="U57" t="str">
        <f t="shared" si="5"/>
        <v/>
      </c>
      <c r="V57" t="str">
        <f t="shared" si="6"/>
        <v/>
      </c>
      <c r="W57">
        <f t="shared" si="3"/>
        <v>0</v>
      </c>
    </row>
    <row r="58" spans="1:23" x14ac:dyDescent="0.25">
      <c r="A58" s="20" t="str">
        <f t="shared" si="4"/>
        <v/>
      </c>
      <c r="B58" s="21"/>
      <c r="C58" s="21"/>
      <c r="P58" t="s">
        <v>33</v>
      </c>
      <c r="U58" t="str">
        <f t="shared" si="5"/>
        <v/>
      </c>
      <c r="V58" t="str">
        <f t="shared" si="6"/>
        <v/>
      </c>
      <c r="W58">
        <f t="shared" si="3"/>
        <v>0</v>
      </c>
    </row>
    <row r="59" spans="1:23" x14ac:dyDescent="0.25">
      <c r="A59" s="20" t="str">
        <f t="shared" si="4"/>
        <v/>
      </c>
      <c r="B59" s="21"/>
      <c r="C59" s="21"/>
      <c r="P59" t="s">
        <v>33</v>
      </c>
      <c r="U59" t="str">
        <f t="shared" si="5"/>
        <v/>
      </c>
      <c r="V59" t="str">
        <f t="shared" si="6"/>
        <v/>
      </c>
      <c r="W59">
        <f t="shared" si="3"/>
        <v>0</v>
      </c>
    </row>
    <row r="60" spans="1:23" x14ac:dyDescent="0.25">
      <c r="A60" s="20" t="str">
        <f t="shared" si="4"/>
        <v/>
      </c>
      <c r="B60" s="21"/>
      <c r="C60" s="21"/>
      <c r="P60" t="s">
        <v>33</v>
      </c>
      <c r="U60" t="str">
        <f t="shared" si="5"/>
        <v/>
      </c>
      <c r="V60" t="str">
        <f t="shared" si="6"/>
        <v/>
      </c>
      <c r="W60">
        <f t="shared" si="3"/>
        <v>0</v>
      </c>
    </row>
    <row r="61" spans="1:23" x14ac:dyDescent="0.25">
      <c r="A61" s="20" t="str">
        <f t="shared" si="4"/>
        <v/>
      </c>
      <c r="B61" s="21"/>
      <c r="C61" s="21"/>
      <c r="P61" t="s">
        <v>33</v>
      </c>
      <c r="U61" t="str">
        <f t="shared" si="5"/>
        <v/>
      </c>
      <c r="V61" t="str">
        <f t="shared" si="6"/>
        <v/>
      </c>
      <c r="W61">
        <f t="shared" si="3"/>
        <v>0</v>
      </c>
    </row>
    <row r="62" spans="1:23" x14ac:dyDescent="0.25">
      <c r="A62" s="20" t="str">
        <f t="shared" si="4"/>
        <v/>
      </c>
      <c r="B62" s="21"/>
      <c r="C62" s="21"/>
      <c r="P62" t="s">
        <v>33</v>
      </c>
      <c r="U62" t="str">
        <f t="shared" si="5"/>
        <v/>
      </c>
      <c r="V62" t="str">
        <f t="shared" si="6"/>
        <v/>
      </c>
      <c r="W62">
        <f t="shared" si="3"/>
        <v>0</v>
      </c>
    </row>
    <row r="63" spans="1:23" x14ac:dyDescent="0.25">
      <c r="A63" s="20" t="str">
        <f t="shared" si="4"/>
        <v/>
      </c>
      <c r="B63" s="21"/>
      <c r="C63" s="21"/>
      <c r="P63" t="s">
        <v>33</v>
      </c>
      <c r="U63" t="str">
        <f t="shared" si="5"/>
        <v/>
      </c>
      <c r="V63" t="str">
        <f t="shared" si="6"/>
        <v/>
      </c>
      <c r="W63">
        <f t="shared" si="3"/>
        <v>0</v>
      </c>
    </row>
    <row r="64" spans="1:23" x14ac:dyDescent="0.25">
      <c r="A64" s="20" t="str">
        <f t="shared" si="4"/>
        <v/>
      </c>
      <c r="B64" s="21"/>
      <c r="C64" s="21"/>
      <c r="P64" t="s">
        <v>33</v>
      </c>
      <c r="U64" t="str">
        <f t="shared" si="5"/>
        <v/>
      </c>
      <c r="V64" t="str">
        <f t="shared" si="6"/>
        <v/>
      </c>
      <c r="W64">
        <f t="shared" si="3"/>
        <v>0</v>
      </c>
    </row>
    <row r="65" spans="1:23" x14ac:dyDescent="0.25">
      <c r="A65" s="20" t="str">
        <f t="shared" si="4"/>
        <v/>
      </c>
      <c r="B65" s="21"/>
      <c r="C65" s="21"/>
      <c r="P65" t="s">
        <v>33</v>
      </c>
      <c r="U65" t="str">
        <f t="shared" si="5"/>
        <v/>
      </c>
      <c r="V65" t="str">
        <f t="shared" si="6"/>
        <v/>
      </c>
      <c r="W65">
        <f t="shared" si="3"/>
        <v>0</v>
      </c>
    </row>
    <row r="66" spans="1:23" x14ac:dyDescent="0.25">
      <c r="A66" s="20" t="str">
        <f t="shared" si="4"/>
        <v/>
      </c>
      <c r="B66" s="21"/>
      <c r="C66" s="21"/>
      <c r="P66" t="s">
        <v>33</v>
      </c>
      <c r="U66" t="str">
        <f t="shared" si="5"/>
        <v/>
      </c>
      <c r="V66" t="str">
        <f t="shared" si="6"/>
        <v/>
      </c>
      <c r="W66">
        <f t="shared" si="3"/>
        <v>0</v>
      </c>
    </row>
    <row r="67" spans="1:23" x14ac:dyDescent="0.25">
      <c r="A67" s="20" t="str">
        <f t="shared" si="4"/>
        <v/>
      </c>
      <c r="B67" s="21"/>
      <c r="C67" s="21"/>
      <c r="P67" t="s">
        <v>33</v>
      </c>
      <c r="U67" t="str">
        <f t="shared" si="5"/>
        <v/>
      </c>
      <c r="V67" t="str">
        <f t="shared" si="6"/>
        <v/>
      </c>
      <c r="W67">
        <f t="shared" si="3"/>
        <v>0</v>
      </c>
    </row>
    <row r="68" spans="1:23" x14ac:dyDescent="0.25">
      <c r="A68" s="20" t="str">
        <f t="shared" si="4"/>
        <v/>
      </c>
      <c r="B68" s="21"/>
      <c r="C68" s="21"/>
      <c r="P68" t="s">
        <v>33</v>
      </c>
      <c r="U68" t="str">
        <f t="shared" si="5"/>
        <v/>
      </c>
      <c r="V68" t="str">
        <f t="shared" si="6"/>
        <v/>
      </c>
      <c r="W68">
        <f t="shared" si="3"/>
        <v>0</v>
      </c>
    </row>
    <row r="69" spans="1:23" x14ac:dyDescent="0.25">
      <c r="A69" s="20" t="str">
        <f t="shared" si="4"/>
        <v/>
      </c>
      <c r="B69" s="21"/>
      <c r="C69" s="21"/>
      <c r="P69" t="s">
        <v>33</v>
      </c>
      <c r="U69" t="str">
        <f t="shared" si="5"/>
        <v/>
      </c>
      <c r="V69" t="str">
        <f t="shared" si="6"/>
        <v/>
      </c>
      <c r="W69">
        <f t="shared" ref="W69:W132" si="7">IF(AND(U69=V69,U69&lt;&gt;""),1,0)</f>
        <v>0</v>
      </c>
    </row>
    <row r="70" spans="1:23" x14ac:dyDescent="0.25">
      <c r="A70" s="20" t="str">
        <f t="shared" ref="A70:A94" si="8">IF(B70&lt;&gt;"",A69+1,"")</f>
        <v/>
      </c>
      <c r="B70" s="21"/>
      <c r="C70" s="21"/>
      <c r="P70" t="s">
        <v>33</v>
      </c>
      <c r="U70" t="str">
        <f t="shared" si="5"/>
        <v/>
      </c>
      <c r="V70" t="str">
        <f t="shared" si="6"/>
        <v/>
      </c>
      <c r="W70">
        <f t="shared" si="7"/>
        <v>0</v>
      </c>
    </row>
    <row r="71" spans="1:23" x14ac:dyDescent="0.25">
      <c r="A71" s="20" t="str">
        <f t="shared" si="8"/>
        <v/>
      </c>
      <c r="B71" s="21"/>
      <c r="C71" s="21"/>
      <c r="P71" t="s">
        <v>33</v>
      </c>
      <c r="U71" t="str">
        <f t="shared" si="5"/>
        <v/>
      </c>
      <c r="V71" t="str">
        <f t="shared" si="6"/>
        <v/>
      </c>
      <c r="W71">
        <f t="shared" si="7"/>
        <v>0</v>
      </c>
    </row>
    <row r="72" spans="1:23" x14ac:dyDescent="0.25">
      <c r="A72" s="20" t="str">
        <f t="shared" si="8"/>
        <v/>
      </c>
      <c r="B72" s="21"/>
      <c r="C72" s="21"/>
      <c r="P72" t="s">
        <v>33</v>
      </c>
      <c r="U72" t="str">
        <f t="shared" si="5"/>
        <v/>
      </c>
      <c r="V72" t="str">
        <f t="shared" si="6"/>
        <v/>
      </c>
      <c r="W72">
        <f t="shared" si="7"/>
        <v>0</v>
      </c>
    </row>
    <row r="73" spans="1:23" x14ac:dyDescent="0.25">
      <c r="A73" s="20" t="str">
        <f t="shared" si="8"/>
        <v/>
      </c>
      <c r="B73" s="21"/>
      <c r="C73" s="21"/>
      <c r="P73" t="s">
        <v>33</v>
      </c>
      <c r="U73" t="str">
        <f t="shared" si="5"/>
        <v/>
      </c>
      <c r="V73" t="str">
        <f t="shared" si="6"/>
        <v/>
      </c>
      <c r="W73">
        <f t="shared" si="7"/>
        <v>0</v>
      </c>
    </row>
    <row r="74" spans="1:23" x14ac:dyDescent="0.25">
      <c r="A74" s="20" t="str">
        <f t="shared" si="8"/>
        <v/>
      </c>
      <c r="B74" s="21"/>
      <c r="C74" s="21"/>
      <c r="P74" t="s">
        <v>33</v>
      </c>
      <c r="U74" t="str">
        <f t="shared" si="5"/>
        <v/>
      </c>
      <c r="V74" t="str">
        <f t="shared" si="6"/>
        <v/>
      </c>
      <c r="W74">
        <f t="shared" si="7"/>
        <v>0</v>
      </c>
    </row>
    <row r="75" spans="1:23" x14ac:dyDescent="0.25">
      <c r="A75" s="20" t="str">
        <f t="shared" si="8"/>
        <v/>
      </c>
      <c r="B75" s="21"/>
      <c r="C75" s="21"/>
      <c r="P75" t="s">
        <v>33</v>
      </c>
      <c r="U75" t="str">
        <f t="shared" si="5"/>
        <v/>
      </c>
      <c r="V75" t="str">
        <f t="shared" si="6"/>
        <v/>
      </c>
      <c r="W75">
        <f t="shared" si="7"/>
        <v>0</v>
      </c>
    </row>
    <row r="76" spans="1:23" x14ac:dyDescent="0.25">
      <c r="A76" s="20" t="str">
        <f t="shared" si="8"/>
        <v/>
      </c>
      <c r="B76" s="21"/>
      <c r="C76" s="21"/>
      <c r="P76" t="s">
        <v>33</v>
      </c>
      <c r="U76" t="str">
        <f t="shared" si="5"/>
        <v/>
      </c>
      <c r="V76" t="str">
        <f t="shared" si="6"/>
        <v/>
      </c>
      <c r="W76">
        <f t="shared" si="7"/>
        <v>0</v>
      </c>
    </row>
    <row r="77" spans="1:23" x14ac:dyDescent="0.25">
      <c r="A77" s="20" t="str">
        <f t="shared" si="8"/>
        <v/>
      </c>
      <c r="B77" s="21"/>
      <c r="C77" s="21"/>
      <c r="P77" t="s">
        <v>33</v>
      </c>
      <c r="U77" t="str">
        <f t="shared" si="5"/>
        <v/>
      </c>
      <c r="V77" t="str">
        <f t="shared" si="6"/>
        <v/>
      </c>
      <c r="W77">
        <f t="shared" si="7"/>
        <v>0</v>
      </c>
    </row>
    <row r="78" spans="1:23" x14ac:dyDescent="0.25">
      <c r="A78" s="20" t="str">
        <f t="shared" si="8"/>
        <v/>
      </c>
      <c r="B78" s="21"/>
      <c r="C78" s="21"/>
      <c r="P78" t="s">
        <v>33</v>
      </c>
      <c r="U78" t="str">
        <f t="shared" si="5"/>
        <v/>
      </c>
      <c r="V78" t="str">
        <f t="shared" si="6"/>
        <v/>
      </c>
      <c r="W78">
        <f t="shared" si="7"/>
        <v>0</v>
      </c>
    </row>
    <row r="79" spans="1:23" x14ac:dyDescent="0.25">
      <c r="A79" s="20" t="str">
        <f t="shared" si="8"/>
        <v/>
      </c>
      <c r="B79" s="21"/>
      <c r="C79" s="21"/>
      <c r="P79" t="s">
        <v>33</v>
      </c>
      <c r="U79" t="str">
        <f t="shared" si="5"/>
        <v/>
      </c>
      <c r="V79" t="str">
        <f t="shared" si="6"/>
        <v/>
      </c>
      <c r="W79">
        <f t="shared" si="7"/>
        <v>0</v>
      </c>
    </row>
    <row r="80" spans="1:23" x14ac:dyDescent="0.25">
      <c r="A80" s="20" t="str">
        <f t="shared" si="8"/>
        <v/>
      </c>
      <c r="B80" s="21"/>
      <c r="C80" s="21"/>
      <c r="P80" t="s">
        <v>33</v>
      </c>
      <c r="U80" t="str">
        <f t="shared" si="5"/>
        <v/>
      </c>
      <c r="V80" t="str">
        <f t="shared" si="6"/>
        <v/>
      </c>
      <c r="W80">
        <f t="shared" si="7"/>
        <v>0</v>
      </c>
    </row>
    <row r="81" spans="1:23" x14ac:dyDescent="0.25">
      <c r="A81" s="20" t="str">
        <f t="shared" si="8"/>
        <v/>
      </c>
      <c r="B81" s="21"/>
      <c r="C81" s="21"/>
      <c r="P81" t="s">
        <v>33</v>
      </c>
      <c r="U81" t="str">
        <f t="shared" ref="U81:U144" si="9">IFERROR(LOOKUP(F81,B$4:B$290,C$4:C$290),"")</f>
        <v/>
      </c>
      <c r="V81" t="str">
        <f t="shared" ref="V81:V144" si="10">IFERROR(LOOKUP(G81,$B$4:$B$290,$C$4:$C$290),"")</f>
        <v/>
      </c>
      <c r="W81">
        <f t="shared" si="7"/>
        <v>0</v>
      </c>
    </row>
    <row r="82" spans="1:23" x14ac:dyDescent="0.25">
      <c r="A82" s="20" t="str">
        <f t="shared" si="8"/>
        <v/>
      </c>
      <c r="B82" s="21"/>
      <c r="C82" s="21"/>
      <c r="P82" t="s">
        <v>33</v>
      </c>
      <c r="U82" t="str">
        <f t="shared" si="9"/>
        <v/>
      </c>
      <c r="V82" t="str">
        <f t="shared" si="10"/>
        <v/>
      </c>
      <c r="W82">
        <f t="shared" si="7"/>
        <v>0</v>
      </c>
    </row>
    <row r="83" spans="1:23" x14ac:dyDescent="0.25">
      <c r="A83" s="20" t="str">
        <f t="shared" si="8"/>
        <v/>
      </c>
      <c r="B83" s="21"/>
      <c r="C83" s="21"/>
      <c r="U83" t="str">
        <f t="shared" si="9"/>
        <v/>
      </c>
      <c r="V83" t="str">
        <f t="shared" si="10"/>
        <v/>
      </c>
      <c r="W83">
        <f t="shared" si="7"/>
        <v>0</v>
      </c>
    </row>
    <row r="84" spans="1:23" x14ac:dyDescent="0.25">
      <c r="A84" s="20" t="str">
        <f t="shared" si="8"/>
        <v/>
      </c>
      <c r="B84" s="21"/>
      <c r="C84" s="21"/>
      <c r="U84" t="str">
        <f t="shared" si="9"/>
        <v/>
      </c>
      <c r="V84" t="str">
        <f t="shared" si="10"/>
        <v/>
      </c>
      <c r="W84">
        <f t="shared" si="7"/>
        <v>0</v>
      </c>
    </row>
    <row r="85" spans="1:23" x14ac:dyDescent="0.25">
      <c r="A85" s="20" t="str">
        <f t="shared" si="8"/>
        <v/>
      </c>
      <c r="B85" s="21"/>
      <c r="C85" s="21"/>
      <c r="U85" t="str">
        <f t="shared" si="9"/>
        <v/>
      </c>
      <c r="V85" t="str">
        <f t="shared" si="10"/>
        <v/>
      </c>
      <c r="W85">
        <f t="shared" si="7"/>
        <v>0</v>
      </c>
    </row>
    <row r="86" spans="1:23" x14ac:dyDescent="0.25">
      <c r="A86" s="20" t="str">
        <f t="shared" si="8"/>
        <v/>
      </c>
      <c r="B86" s="21"/>
      <c r="C86" s="21"/>
      <c r="U86" t="str">
        <f t="shared" si="9"/>
        <v/>
      </c>
      <c r="V86" t="str">
        <f t="shared" si="10"/>
        <v/>
      </c>
      <c r="W86">
        <f t="shared" si="7"/>
        <v>0</v>
      </c>
    </row>
    <row r="87" spans="1:23" x14ac:dyDescent="0.25">
      <c r="A87" s="20" t="str">
        <f t="shared" si="8"/>
        <v/>
      </c>
      <c r="B87" s="21"/>
      <c r="C87" s="21"/>
      <c r="U87" t="str">
        <f t="shared" si="9"/>
        <v/>
      </c>
      <c r="V87" t="str">
        <f t="shared" si="10"/>
        <v/>
      </c>
      <c r="W87">
        <f t="shared" si="7"/>
        <v>0</v>
      </c>
    </row>
    <row r="88" spans="1:23" x14ac:dyDescent="0.25">
      <c r="A88" s="20" t="str">
        <f t="shared" si="8"/>
        <v/>
      </c>
      <c r="B88" s="21"/>
      <c r="C88" s="21"/>
      <c r="U88" t="str">
        <f t="shared" si="9"/>
        <v/>
      </c>
      <c r="V88" t="str">
        <f t="shared" si="10"/>
        <v/>
      </c>
      <c r="W88">
        <f t="shared" si="7"/>
        <v>0</v>
      </c>
    </row>
    <row r="89" spans="1:23" x14ac:dyDescent="0.25">
      <c r="A89" s="20" t="str">
        <f t="shared" si="8"/>
        <v/>
      </c>
      <c r="B89" s="21"/>
      <c r="C89" s="21"/>
      <c r="U89" t="str">
        <f t="shared" si="9"/>
        <v/>
      </c>
      <c r="V89" t="str">
        <f t="shared" si="10"/>
        <v/>
      </c>
      <c r="W89">
        <f t="shared" si="7"/>
        <v>0</v>
      </c>
    </row>
    <row r="90" spans="1:23" x14ac:dyDescent="0.25">
      <c r="A90" s="20" t="str">
        <f t="shared" si="8"/>
        <v/>
      </c>
      <c r="B90" s="21"/>
      <c r="C90" s="21"/>
      <c r="U90" t="str">
        <f t="shared" si="9"/>
        <v/>
      </c>
      <c r="V90" t="str">
        <f t="shared" si="10"/>
        <v/>
      </c>
      <c r="W90">
        <f t="shared" si="7"/>
        <v>0</v>
      </c>
    </row>
    <row r="91" spans="1:23" x14ac:dyDescent="0.25">
      <c r="A91" s="20" t="str">
        <f t="shared" si="8"/>
        <v/>
      </c>
      <c r="B91" s="21"/>
      <c r="C91" s="21"/>
      <c r="U91" t="str">
        <f t="shared" si="9"/>
        <v/>
      </c>
      <c r="V91" t="str">
        <f t="shared" si="10"/>
        <v/>
      </c>
      <c r="W91">
        <f t="shared" si="7"/>
        <v>0</v>
      </c>
    </row>
    <row r="92" spans="1:23" x14ac:dyDescent="0.25">
      <c r="A92" s="20" t="str">
        <f t="shared" si="8"/>
        <v/>
      </c>
      <c r="B92" s="21"/>
      <c r="C92" s="21"/>
      <c r="U92" t="str">
        <f t="shared" si="9"/>
        <v/>
      </c>
      <c r="V92" t="str">
        <f t="shared" si="10"/>
        <v/>
      </c>
      <c r="W92">
        <f t="shared" si="7"/>
        <v>0</v>
      </c>
    </row>
    <row r="93" spans="1:23" x14ac:dyDescent="0.25">
      <c r="A93" s="20" t="str">
        <f t="shared" si="8"/>
        <v/>
      </c>
      <c r="B93" s="21"/>
      <c r="C93" s="21"/>
      <c r="U93" t="str">
        <f t="shared" si="9"/>
        <v/>
      </c>
      <c r="V93" t="str">
        <f t="shared" si="10"/>
        <v/>
      </c>
      <c r="W93">
        <f t="shared" si="7"/>
        <v>0</v>
      </c>
    </row>
    <row r="94" spans="1:23" x14ac:dyDescent="0.25">
      <c r="A94" s="20" t="str">
        <f t="shared" si="8"/>
        <v/>
      </c>
      <c r="B94" s="21"/>
      <c r="C94" s="21"/>
      <c r="U94" t="str">
        <f t="shared" si="9"/>
        <v/>
      </c>
      <c r="V94" t="str">
        <f t="shared" si="10"/>
        <v/>
      </c>
      <c r="W94">
        <f t="shared" si="7"/>
        <v>0</v>
      </c>
    </row>
    <row r="95" spans="1:23" x14ac:dyDescent="0.25">
      <c r="U95" t="str">
        <f t="shared" si="9"/>
        <v/>
      </c>
      <c r="V95" t="str">
        <f t="shared" si="10"/>
        <v/>
      </c>
      <c r="W95">
        <f t="shared" si="7"/>
        <v>0</v>
      </c>
    </row>
    <row r="96" spans="1:23" x14ac:dyDescent="0.25">
      <c r="U96" t="str">
        <f t="shared" si="9"/>
        <v/>
      </c>
      <c r="V96" t="str">
        <f t="shared" si="10"/>
        <v/>
      </c>
      <c r="W96">
        <f t="shared" si="7"/>
        <v>0</v>
      </c>
    </row>
    <row r="97" spans="21:23" x14ac:dyDescent="0.25">
      <c r="U97" t="str">
        <f t="shared" si="9"/>
        <v/>
      </c>
      <c r="V97" t="str">
        <f t="shared" si="10"/>
        <v/>
      </c>
      <c r="W97">
        <f t="shared" si="7"/>
        <v>0</v>
      </c>
    </row>
    <row r="98" spans="21:23" x14ac:dyDescent="0.25">
      <c r="U98" t="str">
        <f t="shared" si="9"/>
        <v/>
      </c>
      <c r="V98" t="str">
        <f t="shared" si="10"/>
        <v/>
      </c>
      <c r="W98">
        <f t="shared" si="7"/>
        <v>0</v>
      </c>
    </row>
    <row r="99" spans="21:23" x14ac:dyDescent="0.25">
      <c r="U99" t="str">
        <f t="shared" si="9"/>
        <v/>
      </c>
      <c r="V99" t="str">
        <f t="shared" si="10"/>
        <v/>
      </c>
      <c r="W99">
        <f t="shared" si="7"/>
        <v>0</v>
      </c>
    </row>
    <row r="100" spans="21:23" x14ac:dyDescent="0.25">
      <c r="U100" t="str">
        <f t="shared" si="9"/>
        <v/>
      </c>
      <c r="V100" t="str">
        <f t="shared" si="10"/>
        <v/>
      </c>
      <c r="W100">
        <f t="shared" si="7"/>
        <v>0</v>
      </c>
    </row>
    <row r="101" spans="21:23" x14ac:dyDescent="0.25">
      <c r="U101" t="str">
        <f t="shared" si="9"/>
        <v/>
      </c>
      <c r="V101" t="str">
        <f t="shared" si="10"/>
        <v/>
      </c>
      <c r="W101">
        <f t="shared" si="7"/>
        <v>0</v>
      </c>
    </row>
    <row r="102" spans="21:23" x14ac:dyDescent="0.25">
      <c r="U102" t="str">
        <f t="shared" si="9"/>
        <v/>
      </c>
      <c r="V102" t="str">
        <f t="shared" si="10"/>
        <v/>
      </c>
      <c r="W102">
        <f t="shared" si="7"/>
        <v>0</v>
      </c>
    </row>
    <row r="103" spans="21:23" x14ac:dyDescent="0.25">
      <c r="U103" t="str">
        <f t="shared" si="9"/>
        <v/>
      </c>
      <c r="V103" t="str">
        <f t="shared" si="10"/>
        <v/>
      </c>
      <c r="W103">
        <f t="shared" si="7"/>
        <v>0</v>
      </c>
    </row>
    <row r="104" spans="21:23" x14ac:dyDescent="0.25">
      <c r="U104" t="str">
        <f t="shared" si="9"/>
        <v/>
      </c>
      <c r="V104" t="str">
        <f t="shared" si="10"/>
        <v/>
      </c>
      <c r="W104">
        <f t="shared" si="7"/>
        <v>0</v>
      </c>
    </row>
    <row r="105" spans="21:23" x14ac:dyDescent="0.25">
      <c r="U105" t="str">
        <f t="shared" si="9"/>
        <v/>
      </c>
      <c r="V105" t="str">
        <f t="shared" si="10"/>
        <v/>
      </c>
      <c r="W105">
        <f t="shared" si="7"/>
        <v>0</v>
      </c>
    </row>
    <row r="106" spans="21:23" x14ac:dyDescent="0.25">
      <c r="U106" t="str">
        <f t="shared" si="9"/>
        <v/>
      </c>
      <c r="V106" t="str">
        <f t="shared" si="10"/>
        <v/>
      </c>
      <c r="W106">
        <f t="shared" si="7"/>
        <v>0</v>
      </c>
    </row>
    <row r="107" spans="21:23" x14ac:dyDescent="0.25">
      <c r="U107" t="str">
        <f t="shared" si="9"/>
        <v/>
      </c>
      <c r="V107" t="str">
        <f t="shared" si="10"/>
        <v/>
      </c>
      <c r="W107">
        <f t="shared" si="7"/>
        <v>0</v>
      </c>
    </row>
    <row r="108" spans="21:23" x14ac:dyDescent="0.25">
      <c r="U108" t="str">
        <f t="shared" si="9"/>
        <v/>
      </c>
      <c r="V108" t="str">
        <f t="shared" si="10"/>
        <v/>
      </c>
      <c r="W108">
        <f t="shared" si="7"/>
        <v>0</v>
      </c>
    </row>
    <row r="109" spans="21:23" x14ac:dyDescent="0.25">
      <c r="U109" t="str">
        <f t="shared" si="9"/>
        <v/>
      </c>
      <c r="V109" t="str">
        <f t="shared" si="10"/>
        <v/>
      </c>
      <c r="W109">
        <f t="shared" si="7"/>
        <v>0</v>
      </c>
    </row>
    <row r="110" spans="21:23" x14ac:dyDescent="0.25">
      <c r="U110" t="str">
        <f t="shared" si="9"/>
        <v/>
      </c>
      <c r="V110" t="str">
        <f t="shared" si="10"/>
        <v/>
      </c>
      <c r="W110">
        <f t="shared" si="7"/>
        <v>0</v>
      </c>
    </row>
    <row r="111" spans="21:23" x14ac:dyDescent="0.25">
      <c r="U111" t="str">
        <f t="shared" si="9"/>
        <v/>
      </c>
      <c r="V111" t="str">
        <f t="shared" si="10"/>
        <v/>
      </c>
      <c r="W111">
        <f t="shared" si="7"/>
        <v>0</v>
      </c>
    </row>
    <row r="112" spans="21:23" x14ac:dyDescent="0.25">
      <c r="U112" t="str">
        <f t="shared" si="9"/>
        <v/>
      </c>
      <c r="V112" t="str">
        <f t="shared" si="10"/>
        <v/>
      </c>
      <c r="W112">
        <f t="shared" si="7"/>
        <v>0</v>
      </c>
    </row>
    <row r="113" spans="21:23" x14ac:dyDescent="0.25">
      <c r="U113" t="str">
        <f t="shared" si="9"/>
        <v/>
      </c>
      <c r="V113" t="str">
        <f t="shared" si="10"/>
        <v/>
      </c>
      <c r="W113">
        <f t="shared" si="7"/>
        <v>0</v>
      </c>
    </row>
    <row r="114" spans="21:23" x14ac:dyDescent="0.25">
      <c r="U114" t="str">
        <f t="shared" si="9"/>
        <v/>
      </c>
      <c r="V114" t="str">
        <f t="shared" si="10"/>
        <v/>
      </c>
      <c r="W114">
        <f t="shared" si="7"/>
        <v>0</v>
      </c>
    </row>
    <row r="115" spans="21:23" x14ac:dyDescent="0.25">
      <c r="U115" t="str">
        <f t="shared" si="9"/>
        <v/>
      </c>
      <c r="V115" t="str">
        <f t="shared" si="10"/>
        <v/>
      </c>
      <c r="W115">
        <f t="shared" si="7"/>
        <v>0</v>
      </c>
    </row>
    <row r="116" spans="21:23" x14ac:dyDescent="0.25">
      <c r="U116" t="str">
        <f t="shared" si="9"/>
        <v/>
      </c>
      <c r="V116" t="str">
        <f t="shared" si="10"/>
        <v/>
      </c>
      <c r="W116">
        <f t="shared" si="7"/>
        <v>0</v>
      </c>
    </row>
    <row r="117" spans="21:23" x14ac:dyDescent="0.25">
      <c r="U117" t="str">
        <f t="shared" si="9"/>
        <v/>
      </c>
      <c r="V117" t="str">
        <f t="shared" si="10"/>
        <v/>
      </c>
      <c r="W117">
        <f t="shared" si="7"/>
        <v>0</v>
      </c>
    </row>
    <row r="118" spans="21:23" x14ac:dyDescent="0.25">
      <c r="U118" t="str">
        <f t="shared" si="9"/>
        <v/>
      </c>
      <c r="V118" t="str">
        <f t="shared" si="10"/>
        <v/>
      </c>
      <c r="W118">
        <f t="shared" si="7"/>
        <v>0</v>
      </c>
    </row>
    <row r="119" spans="21:23" x14ac:dyDescent="0.25">
      <c r="U119" t="str">
        <f t="shared" si="9"/>
        <v/>
      </c>
      <c r="V119" t="str">
        <f t="shared" si="10"/>
        <v/>
      </c>
      <c r="W119">
        <f t="shared" si="7"/>
        <v>0</v>
      </c>
    </row>
    <row r="120" spans="21:23" x14ac:dyDescent="0.25">
      <c r="U120" t="str">
        <f t="shared" si="9"/>
        <v/>
      </c>
      <c r="V120" t="str">
        <f t="shared" si="10"/>
        <v/>
      </c>
      <c r="W120">
        <f t="shared" si="7"/>
        <v>0</v>
      </c>
    </row>
    <row r="121" spans="21:23" x14ac:dyDescent="0.25">
      <c r="U121" t="str">
        <f t="shared" si="9"/>
        <v/>
      </c>
      <c r="V121" t="str">
        <f t="shared" si="10"/>
        <v/>
      </c>
      <c r="W121">
        <f t="shared" si="7"/>
        <v>0</v>
      </c>
    </row>
    <row r="122" spans="21:23" x14ac:dyDescent="0.25">
      <c r="U122" t="str">
        <f t="shared" si="9"/>
        <v/>
      </c>
      <c r="V122" t="str">
        <f t="shared" si="10"/>
        <v/>
      </c>
      <c r="W122">
        <f t="shared" si="7"/>
        <v>0</v>
      </c>
    </row>
    <row r="123" spans="21:23" x14ac:dyDescent="0.25">
      <c r="U123" t="str">
        <f t="shared" si="9"/>
        <v/>
      </c>
      <c r="V123" t="str">
        <f t="shared" si="10"/>
        <v/>
      </c>
      <c r="W123">
        <f t="shared" si="7"/>
        <v>0</v>
      </c>
    </row>
    <row r="124" spans="21:23" x14ac:dyDescent="0.25">
      <c r="U124" t="str">
        <f t="shared" si="9"/>
        <v/>
      </c>
      <c r="V124" t="str">
        <f t="shared" si="10"/>
        <v/>
      </c>
      <c r="W124">
        <f t="shared" si="7"/>
        <v>0</v>
      </c>
    </row>
    <row r="125" spans="21:23" x14ac:dyDescent="0.25">
      <c r="U125" t="str">
        <f t="shared" si="9"/>
        <v/>
      </c>
      <c r="V125" t="str">
        <f t="shared" si="10"/>
        <v/>
      </c>
      <c r="W125">
        <f t="shared" si="7"/>
        <v>0</v>
      </c>
    </row>
    <row r="126" spans="21:23" x14ac:dyDescent="0.25">
      <c r="U126" t="str">
        <f t="shared" si="9"/>
        <v/>
      </c>
      <c r="V126" t="str">
        <f t="shared" si="10"/>
        <v/>
      </c>
      <c r="W126">
        <f t="shared" si="7"/>
        <v>0</v>
      </c>
    </row>
    <row r="127" spans="21:23" x14ac:dyDescent="0.25">
      <c r="U127" t="str">
        <f t="shared" si="9"/>
        <v/>
      </c>
      <c r="V127" t="str">
        <f t="shared" si="10"/>
        <v/>
      </c>
      <c r="W127">
        <f t="shared" si="7"/>
        <v>0</v>
      </c>
    </row>
    <row r="128" spans="21:23" x14ac:dyDescent="0.25">
      <c r="U128" t="str">
        <f t="shared" si="9"/>
        <v/>
      </c>
      <c r="V128" t="str">
        <f t="shared" si="10"/>
        <v/>
      </c>
      <c r="W128">
        <f t="shared" si="7"/>
        <v>0</v>
      </c>
    </row>
    <row r="129" spans="21:23" x14ac:dyDescent="0.25">
      <c r="U129" t="str">
        <f t="shared" si="9"/>
        <v/>
      </c>
      <c r="V129" t="str">
        <f t="shared" si="10"/>
        <v/>
      </c>
      <c r="W129">
        <f t="shared" si="7"/>
        <v>0</v>
      </c>
    </row>
    <row r="130" spans="21:23" x14ac:dyDescent="0.25">
      <c r="U130" t="str">
        <f t="shared" si="9"/>
        <v/>
      </c>
      <c r="V130" t="str">
        <f t="shared" si="10"/>
        <v/>
      </c>
      <c r="W130">
        <f t="shared" si="7"/>
        <v>0</v>
      </c>
    </row>
    <row r="131" spans="21:23" x14ac:dyDescent="0.25">
      <c r="U131" t="str">
        <f t="shared" si="9"/>
        <v/>
      </c>
      <c r="V131" t="str">
        <f t="shared" si="10"/>
        <v/>
      </c>
      <c r="W131">
        <f t="shared" si="7"/>
        <v>0</v>
      </c>
    </row>
    <row r="132" spans="21:23" x14ac:dyDescent="0.25">
      <c r="U132" t="str">
        <f t="shared" si="9"/>
        <v/>
      </c>
      <c r="V132" t="str">
        <f t="shared" si="10"/>
        <v/>
      </c>
      <c r="W132">
        <f t="shared" si="7"/>
        <v>0</v>
      </c>
    </row>
    <row r="133" spans="21:23" x14ac:dyDescent="0.25">
      <c r="U133" t="str">
        <f t="shared" si="9"/>
        <v/>
      </c>
      <c r="V133" t="str">
        <f t="shared" si="10"/>
        <v/>
      </c>
      <c r="W133">
        <f t="shared" ref="W133:W190" si="11">IF(AND(U133=V133,U133&lt;&gt;""),1,0)</f>
        <v>0</v>
      </c>
    </row>
    <row r="134" spans="21:23" x14ac:dyDescent="0.25">
      <c r="U134" t="str">
        <f t="shared" si="9"/>
        <v/>
      </c>
      <c r="V134" t="str">
        <f t="shared" si="10"/>
        <v/>
      </c>
      <c r="W134">
        <f t="shared" si="11"/>
        <v>0</v>
      </c>
    </row>
    <row r="135" spans="21:23" x14ac:dyDescent="0.25">
      <c r="U135" t="str">
        <f t="shared" si="9"/>
        <v/>
      </c>
      <c r="V135" t="str">
        <f t="shared" si="10"/>
        <v/>
      </c>
      <c r="W135">
        <f t="shared" si="11"/>
        <v>0</v>
      </c>
    </row>
    <row r="136" spans="21:23" x14ac:dyDescent="0.25">
      <c r="U136" t="str">
        <f t="shared" si="9"/>
        <v/>
      </c>
      <c r="V136" t="str">
        <f t="shared" si="10"/>
        <v/>
      </c>
      <c r="W136">
        <f t="shared" si="11"/>
        <v>0</v>
      </c>
    </row>
    <row r="137" spans="21:23" x14ac:dyDescent="0.25">
      <c r="U137" t="str">
        <f t="shared" si="9"/>
        <v/>
      </c>
      <c r="V137" t="str">
        <f t="shared" si="10"/>
        <v/>
      </c>
      <c r="W137">
        <f t="shared" si="11"/>
        <v>0</v>
      </c>
    </row>
    <row r="138" spans="21:23" x14ac:dyDescent="0.25">
      <c r="U138" t="str">
        <f t="shared" si="9"/>
        <v/>
      </c>
      <c r="V138" t="str">
        <f t="shared" si="10"/>
        <v/>
      </c>
      <c r="W138">
        <f t="shared" si="11"/>
        <v>0</v>
      </c>
    </row>
    <row r="139" spans="21:23" x14ac:dyDescent="0.25">
      <c r="U139" t="str">
        <f t="shared" si="9"/>
        <v/>
      </c>
      <c r="V139" t="str">
        <f t="shared" si="10"/>
        <v/>
      </c>
      <c r="W139">
        <f t="shared" si="11"/>
        <v>0</v>
      </c>
    </row>
    <row r="140" spans="21:23" x14ac:dyDescent="0.25">
      <c r="U140" t="str">
        <f t="shared" si="9"/>
        <v/>
      </c>
      <c r="V140" t="str">
        <f t="shared" si="10"/>
        <v/>
      </c>
      <c r="W140">
        <f t="shared" si="11"/>
        <v>0</v>
      </c>
    </row>
    <row r="141" spans="21:23" x14ac:dyDescent="0.25">
      <c r="U141" t="str">
        <f t="shared" si="9"/>
        <v/>
      </c>
      <c r="V141" t="str">
        <f t="shared" si="10"/>
        <v/>
      </c>
      <c r="W141">
        <f t="shared" si="11"/>
        <v>0</v>
      </c>
    </row>
    <row r="142" spans="21:23" x14ac:dyDescent="0.25">
      <c r="U142" t="str">
        <f t="shared" si="9"/>
        <v/>
      </c>
      <c r="V142" t="str">
        <f t="shared" si="10"/>
        <v/>
      </c>
      <c r="W142">
        <f t="shared" si="11"/>
        <v>0</v>
      </c>
    </row>
    <row r="143" spans="21:23" x14ac:dyDescent="0.25">
      <c r="U143" t="str">
        <f t="shared" si="9"/>
        <v/>
      </c>
      <c r="V143" t="str">
        <f t="shared" si="10"/>
        <v/>
      </c>
      <c r="W143">
        <f t="shared" si="11"/>
        <v>0</v>
      </c>
    </row>
    <row r="144" spans="21:23" x14ac:dyDescent="0.25">
      <c r="U144" t="str">
        <f t="shared" si="9"/>
        <v/>
      </c>
      <c r="V144" t="str">
        <f t="shared" si="10"/>
        <v/>
      </c>
      <c r="W144">
        <f t="shared" si="11"/>
        <v>0</v>
      </c>
    </row>
    <row r="145" spans="21:23" x14ac:dyDescent="0.25">
      <c r="U145" t="str">
        <f t="shared" ref="U145:U190" si="12">IFERROR(LOOKUP(F145,B$4:B$290,C$4:C$290),"")</f>
        <v/>
      </c>
      <c r="V145" t="str">
        <f t="shared" ref="V145:V190" si="13">IFERROR(LOOKUP(G145,$B$4:$B$290,$C$4:$C$290),"")</f>
        <v/>
      </c>
      <c r="W145">
        <f t="shared" si="11"/>
        <v>0</v>
      </c>
    </row>
    <row r="146" spans="21:23" x14ac:dyDescent="0.25">
      <c r="U146" t="str">
        <f t="shared" si="12"/>
        <v/>
      </c>
      <c r="V146" t="str">
        <f t="shared" si="13"/>
        <v/>
      </c>
      <c r="W146">
        <f t="shared" si="11"/>
        <v>0</v>
      </c>
    </row>
    <row r="147" spans="21:23" x14ac:dyDescent="0.25">
      <c r="U147" t="str">
        <f t="shared" si="12"/>
        <v/>
      </c>
      <c r="V147" t="str">
        <f t="shared" si="13"/>
        <v/>
      </c>
      <c r="W147">
        <f t="shared" si="11"/>
        <v>0</v>
      </c>
    </row>
    <row r="148" spans="21:23" x14ac:dyDescent="0.25">
      <c r="U148" t="str">
        <f t="shared" si="12"/>
        <v/>
      </c>
      <c r="V148" t="str">
        <f t="shared" si="13"/>
        <v/>
      </c>
      <c r="W148">
        <f t="shared" si="11"/>
        <v>0</v>
      </c>
    </row>
    <row r="149" spans="21:23" x14ac:dyDescent="0.25">
      <c r="U149" t="str">
        <f t="shared" si="12"/>
        <v/>
      </c>
      <c r="V149" t="str">
        <f t="shared" si="13"/>
        <v/>
      </c>
      <c r="W149">
        <f t="shared" si="11"/>
        <v>0</v>
      </c>
    </row>
    <row r="150" spans="21:23" x14ac:dyDescent="0.25">
      <c r="U150" t="str">
        <f t="shared" si="12"/>
        <v/>
      </c>
      <c r="V150" t="str">
        <f t="shared" si="13"/>
        <v/>
      </c>
      <c r="W150">
        <f t="shared" si="11"/>
        <v>0</v>
      </c>
    </row>
    <row r="151" spans="21:23" x14ac:dyDescent="0.25">
      <c r="U151" t="str">
        <f t="shared" si="12"/>
        <v/>
      </c>
      <c r="V151" t="str">
        <f t="shared" si="13"/>
        <v/>
      </c>
      <c r="W151">
        <f t="shared" si="11"/>
        <v>0</v>
      </c>
    </row>
    <row r="152" spans="21:23" x14ac:dyDescent="0.25">
      <c r="U152" t="str">
        <f t="shared" si="12"/>
        <v/>
      </c>
      <c r="V152" t="str">
        <f t="shared" si="13"/>
        <v/>
      </c>
      <c r="W152">
        <f t="shared" si="11"/>
        <v>0</v>
      </c>
    </row>
    <row r="153" spans="21:23" x14ac:dyDescent="0.25">
      <c r="U153" t="str">
        <f t="shared" si="12"/>
        <v/>
      </c>
      <c r="V153" t="str">
        <f t="shared" si="13"/>
        <v/>
      </c>
      <c r="W153">
        <f t="shared" si="11"/>
        <v>0</v>
      </c>
    </row>
    <row r="154" spans="21:23" x14ac:dyDescent="0.25">
      <c r="U154" t="str">
        <f t="shared" si="12"/>
        <v/>
      </c>
      <c r="V154" t="str">
        <f t="shared" si="13"/>
        <v/>
      </c>
      <c r="W154">
        <f t="shared" si="11"/>
        <v>0</v>
      </c>
    </row>
    <row r="155" spans="21:23" x14ac:dyDescent="0.25">
      <c r="U155" t="str">
        <f t="shared" si="12"/>
        <v/>
      </c>
      <c r="V155" t="str">
        <f t="shared" si="13"/>
        <v/>
      </c>
      <c r="W155">
        <f t="shared" si="11"/>
        <v>0</v>
      </c>
    </row>
    <row r="156" spans="21:23" x14ac:dyDescent="0.25">
      <c r="U156" t="str">
        <f t="shared" si="12"/>
        <v/>
      </c>
      <c r="V156" t="str">
        <f t="shared" si="13"/>
        <v/>
      </c>
      <c r="W156">
        <f t="shared" si="11"/>
        <v>0</v>
      </c>
    </row>
    <row r="157" spans="21:23" x14ac:dyDescent="0.25">
      <c r="U157" t="str">
        <f t="shared" si="12"/>
        <v/>
      </c>
      <c r="V157" t="str">
        <f t="shared" si="13"/>
        <v/>
      </c>
      <c r="W157">
        <f t="shared" si="11"/>
        <v>0</v>
      </c>
    </row>
    <row r="158" spans="21:23" x14ac:dyDescent="0.25">
      <c r="U158" t="str">
        <f t="shared" si="12"/>
        <v/>
      </c>
      <c r="V158" t="str">
        <f t="shared" si="13"/>
        <v/>
      </c>
      <c r="W158">
        <f t="shared" si="11"/>
        <v>0</v>
      </c>
    </row>
    <row r="159" spans="21:23" x14ac:dyDescent="0.25">
      <c r="U159" t="str">
        <f t="shared" si="12"/>
        <v/>
      </c>
      <c r="V159" t="str">
        <f t="shared" si="13"/>
        <v/>
      </c>
      <c r="W159">
        <f t="shared" si="11"/>
        <v>0</v>
      </c>
    </row>
    <row r="160" spans="21:23" x14ac:dyDescent="0.25">
      <c r="U160" t="str">
        <f t="shared" si="12"/>
        <v/>
      </c>
      <c r="V160" t="str">
        <f t="shared" si="13"/>
        <v/>
      </c>
      <c r="W160">
        <f t="shared" si="11"/>
        <v>0</v>
      </c>
    </row>
    <row r="161" spans="21:23" x14ac:dyDescent="0.25">
      <c r="U161" t="str">
        <f t="shared" si="12"/>
        <v/>
      </c>
      <c r="V161" t="str">
        <f t="shared" si="13"/>
        <v/>
      </c>
      <c r="W161">
        <f t="shared" si="11"/>
        <v>0</v>
      </c>
    </row>
    <row r="162" spans="21:23" x14ac:dyDescent="0.25">
      <c r="U162" t="str">
        <f t="shared" si="12"/>
        <v/>
      </c>
      <c r="V162" t="str">
        <f t="shared" si="13"/>
        <v/>
      </c>
      <c r="W162">
        <f t="shared" si="11"/>
        <v>0</v>
      </c>
    </row>
    <row r="163" spans="21:23" x14ac:dyDescent="0.25">
      <c r="U163" t="str">
        <f t="shared" si="12"/>
        <v/>
      </c>
      <c r="V163" t="str">
        <f t="shared" si="13"/>
        <v/>
      </c>
      <c r="W163">
        <f t="shared" si="11"/>
        <v>0</v>
      </c>
    </row>
    <row r="164" spans="21:23" x14ac:dyDescent="0.25">
      <c r="U164" t="str">
        <f t="shared" si="12"/>
        <v/>
      </c>
      <c r="V164" t="str">
        <f t="shared" si="13"/>
        <v/>
      </c>
      <c r="W164">
        <f t="shared" si="11"/>
        <v>0</v>
      </c>
    </row>
    <row r="165" spans="21:23" x14ac:dyDescent="0.25">
      <c r="U165" t="str">
        <f t="shared" si="12"/>
        <v/>
      </c>
      <c r="V165" t="str">
        <f t="shared" si="13"/>
        <v/>
      </c>
      <c r="W165">
        <f t="shared" si="11"/>
        <v>0</v>
      </c>
    </row>
    <row r="166" spans="21:23" x14ac:dyDescent="0.25">
      <c r="U166" t="str">
        <f t="shared" si="12"/>
        <v/>
      </c>
      <c r="V166" t="str">
        <f t="shared" si="13"/>
        <v/>
      </c>
      <c r="W166">
        <f t="shared" si="11"/>
        <v>0</v>
      </c>
    </row>
    <row r="167" spans="21:23" x14ac:dyDescent="0.25">
      <c r="U167" t="str">
        <f t="shared" si="12"/>
        <v/>
      </c>
      <c r="V167" t="str">
        <f t="shared" si="13"/>
        <v/>
      </c>
      <c r="W167">
        <f t="shared" si="11"/>
        <v>0</v>
      </c>
    </row>
    <row r="168" spans="21:23" x14ac:dyDescent="0.25">
      <c r="U168" t="str">
        <f t="shared" si="12"/>
        <v/>
      </c>
      <c r="V168" t="str">
        <f t="shared" si="13"/>
        <v/>
      </c>
      <c r="W168">
        <f t="shared" si="11"/>
        <v>0</v>
      </c>
    </row>
    <row r="169" spans="21:23" x14ac:dyDescent="0.25">
      <c r="U169" t="str">
        <f t="shared" si="12"/>
        <v/>
      </c>
      <c r="V169" t="str">
        <f t="shared" si="13"/>
        <v/>
      </c>
      <c r="W169">
        <f t="shared" si="11"/>
        <v>0</v>
      </c>
    </row>
    <row r="170" spans="21:23" x14ac:dyDescent="0.25">
      <c r="U170" t="str">
        <f t="shared" si="12"/>
        <v/>
      </c>
      <c r="V170" t="str">
        <f t="shared" si="13"/>
        <v/>
      </c>
      <c r="W170">
        <f t="shared" si="11"/>
        <v>0</v>
      </c>
    </row>
    <row r="171" spans="21:23" x14ac:dyDescent="0.25">
      <c r="U171" t="str">
        <f t="shared" si="12"/>
        <v/>
      </c>
      <c r="V171" t="str">
        <f t="shared" si="13"/>
        <v/>
      </c>
      <c r="W171">
        <f t="shared" si="11"/>
        <v>0</v>
      </c>
    </row>
    <row r="172" spans="21:23" x14ac:dyDescent="0.25">
      <c r="U172" t="str">
        <f t="shared" si="12"/>
        <v/>
      </c>
      <c r="V172" t="str">
        <f t="shared" si="13"/>
        <v/>
      </c>
      <c r="W172">
        <f t="shared" si="11"/>
        <v>0</v>
      </c>
    </row>
    <row r="173" spans="21:23" x14ac:dyDescent="0.25">
      <c r="U173" t="str">
        <f t="shared" si="12"/>
        <v/>
      </c>
      <c r="V173" t="str">
        <f t="shared" si="13"/>
        <v/>
      </c>
      <c r="W173">
        <f t="shared" si="11"/>
        <v>0</v>
      </c>
    </row>
    <row r="174" spans="21:23" x14ac:dyDescent="0.25">
      <c r="U174" t="str">
        <f t="shared" si="12"/>
        <v/>
      </c>
      <c r="V174" t="str">
        <f t="shared" si="13"/>
        <v/>
      </c>
      <c r="W174">
        <f t="shared" si="11"/>
        <v>0</v>
      </c>
    </row>
    <row r="175" spans="21:23" x14ac:dyDescent="0.25">
      <c r="U175" t="str">
        <f t="shared" si="12"/>
        <v/>
      </c>
      <c r="V175" t="str">
        <f t="shared" si="13"/>
        <v/>
      </c>
      <c r="W175">
        <f t="shared" si="11"/>
        <v>0</v>
      </c>
    </row>
    <row r="176" spans="21:23" x14ac:dyDescent="0.25">
      <c r="U176" t="str">
        <f t="shared" si="12"/>
        <v/>
      </c>
      <c r="V176" t="str">
        <f t="shared" si="13"/>
        <v/>
      </c>
      <c r="W176">
        <f t="shared" si="11"/>
        <v>0</v>
      </c>
    </row>
    <row r="177" spans="21:23" x14ac:dyDescent="0.25">
      <c r="U177" t="str">
        <f t="shared" si="12"/>
        <v/>
      </c>
      <c r="V177" t="str">
        <f t="shared" si="13"/>
        <v/>
      </c>
      <c r="W177">
        <f t="shared" si="11"/>
        <v>0</v>
      </c>
    </row>
    <row r="178" spans="21:23" x14ac:dyDescent="0.25">
      <c r="U178" t="str">
        <f t="shared" si="12"/>
        <v/>
      </c>
      <c r="V178" t="str">
        <f t="shared" si="13"/>
        <v/>
      </c>
      <c r="W178">
        <f t="shared" si="11"/>
        <v>0</v>
      </c>
    </row>
    <row r="179" spans="21:23" x14ac:dyDescent="0.25">
      <c r="U179" t="str">
        <f t="shared" si="12"/>
        <v/>
      </c>
      <c r="V179" t="str">
        <f t="shared" si="13"/>
        <v/>
      </c>
      <c r="W179">
        <f t="shared" si="11"/>
        <v>0</v>
      </c>
    </row>
    <row r="180" spans="21:23" x14ac:dyDescent="0.25">
      <c r="U180" t="str">
        <f t="shared" si="12"/>
        <v/>
      </c>
      <c r="V180" t="str">
        <f t="shared" si="13"/>
        <v/>
      </c>
      <c r="W180">
        <f t="shared" si="11"/>
        <v>0</v>
      </c>
    </row>
    <row r="181" spans="21:23" x14ac:dyDescent="0.25">
      <c r="U181" t="str">
        <f t="shared" si="12"/>
        <v/>
      </c>
      <c r="V181" t="str">
        <f t="shared" si="13"/>
        <v/>
      </c>
      <c r="W181">
        <f t="shared" si="11"/>
        <v>0</v>
      </c>
    </row>
    <row r="182" spans="21:23" x14ac:dyDescent="0.25">
      <c r="U182" t="str">
        <f t="shared" si="12"/>
        <v/>
      </c>
      <c r="V182" t="str">
        <f t="shared" si="13"/>
        <v/>
      </c>
      <c r="W182">
        <f t="shared" si="11"/>
        <v>0</v>
      </c>
    </row>
    <row r="183" spans="21:23" x14ac:dyDescent="0.25">
      <c r="U183" t="str">
        <f t="shared" si="12"/>
        <v/>
      </c>
      <c r="V183" t="str">
        <f t="shared" si="13"/>
        <v/>
      </c>
      <c r="W183">
        <f t="shared" si="11"/>
        <v>0</v>
      </c>
    </row>
    <row r="184" spans="21:23" x14ac:dyDescent="0.25">
      <c r="U184" t="str">
        <f t="shared" si="12"/>
        <v/>
      </c>
      <c r="V184" t="str">
        <f t="shared" si="13"/>
        <v/>
      </c>
      <c r="W184">
        <f t="shared" si="11"/>
        <v>0</v>
      </c>
    </row>
    <row r="185" spans="21:23" x14ac:dyDescent="0.25">
      <c r="U185" t="str">
        <f t="shared" si="12"/>
        <v/>
      </c>
      <c r="V185" t="str">
        <f t="shared" si="13"/>
        <v/>
      </c>
      <c r="W185">
        <f t="shared" si="11"/>
        <v>0</v>
      </c>
    </row>
    <row r="186" spans="21:23" x14ac:dyDescent="0.25">
      <c r="U186" t="str">
        <f t="shared" si="12"/>
        <v/>
      </c>
      <c r="V186" t="str">
        <f t="shared" si="13"/>
        <v/>
      </c>
      <c r="W186">
        <f t="shared" si="11"/>
        <v>0</v>
      </c>
    </row>
    <row r="187" spans="21:23" x14ac:dyDescent="0.25">
      <c r="U187" t="str">
        <f t="shared" si="12"/>
        <v/>
      </c>
      <c r="V187" t="str">
        <f t="shared" si="13"/>
        <v/>
      </c>
      <c r="W187">
        <f t="shared" si="11"/>
        <v>0</v>
      </c>
    </row>
    <row r="188" spans="21:23" x14ac:dyDescent="0.25">
      <c r="U188" t="str">
        <f t="shared" si="12"/>
        <v/>
      </c>
      <c r="V188" t="str">
        <f t="shared" si="13"/>
        <v/>
      </c>
      <c r="W188">
        <f t="shared" si="11"/>
        <v>0</v>
      </c>
    </row>
    <row r="189" spans="21:23" x14ac:dyDescent="0.25">
      <c r="U189" t="str">
        <f t="shared" si="12"/>
        <v/>
      </c>
      <c r="V189" t="str">
        <f t="shared" si="13"/>
        <v/>
      </c>
      <c r="W189">
        <f t="shared" si="11"/>
        <v>0</v>
      </c>
    </row>
    <row r="190" spans="21:23" x14ac:dyDescent="0.25">
      <c r="U190" t="str">
        <f t="shared" si="12"/>
        <v/>
      </c>
      <c r="V190" t="str">
        <f t="shared" si="13"/>
        <v/>
      </c>
      <c r="W190">
        <f t="shared" si="11"/>
        <v>0</v>
      </c>
    </row>
  </sheetData>
  <sheetProtection selectLockedCells="1"/>
  <sortState ref="B4:C36">
    <sortCondition ref="B4"/>
  </sortState>
  <mergeCells count="6">
    <mergeCell ref="F2:G2"/>
    <mergeCell ref="I18:L18"/>
    <mergeCell ref="I28:L28"/>
    <mergeCell ref="I15:M16"/>
    <mergeCell ref="I27:L27"/>
    <mergeCell ref="I24:M2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7"/>
  <sheetViews>
    <sheetView workbookViewId="0">
      <selection activeCell="B1" sqref="B1"/>
    </sheetView>
  </sheetViews>
  <sheetFormatPr defaultRowHeight="15" x14ac:dyDescent="0.25"/>
  <sheetData>
    <row r="1" spans="1:1" x14ac:dyDescent="0.3">
      <c r="A1" t="s">
        <v>21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8</v>
      </c>
    </row>
    <row r="9" spans="1:1" x14ac:dyDescent="0.3">
      <c r="A9" t="s">
        <v>9</v>
      </c>
    </row>
    <row r="10" spans="1:1" x14ac:dyDescent="0.3">
      <c r="A10" t="s">
        <v>10</v>
      </c>
    </row>
    <row r="11" spans="1:1" x14ac:dyDescent="0.3">
      <c r="A11" t="s">
        <v>11</v>
      </c>
    </row>
    <row r="12" spans="1:1" x14ac:dyDescent="0.3">
      <c r="A12" t="s">
        <v>12</v>
      </c>
    </row>
    <row r="13" spans="1:1" x14ac:dyDescent="0.3">
      <c r="A13" t="s">
        <v>13</v>
      </c>
    </row>
    <row r="14" spans="1:1" x14ac:dyDescent="0.3">
      <c r="A14" t="s">
        <v>14</v>
      </c>
    </row>
    <row r="15" spans="1:1" x14ac:dyDescent="0.3">
      <c r="A15" t="s">
        <v>15</v>
      </c>
    </row>
    <row r="16" spans="1:1" x14ac:dyDescent="0.3">
      <c r="A16" t="s">
        <v>16</v>
      </c>
    </row>
    <row r="17" spans="1:1" x14ac:dyDescent="0.3">
      <c r="A17" t="s">
        <v>17</v>
      </c>
    </row>
    <row r="18" spans="1:1" x14ac:dyDescent="0.3">
      <c r="A18" t="s">
        <v>7</v>
      </c>
    </row>
    <row r="19" spans="1:1" x14ac:dyDescent="0.3">
      <c r="A19" t="s">
        <v>24</v>
      </c>
    </row>
    <row r="20" spans="1:1" x14ac:dyDescent="0.3">
      <c r="A20" t="s">
        <v>25</v>
      </c>
    </row>
    <row r="21" spans="1:1" x14ac:dyDescent="0.3">
      <c r="A21" t="s">
        <v>26</v>
      </c>
    </row>
    <row r="22" spans="1:1" x14ac:dyDescent="0.3">
      <c r="A22" t="s">
        <v>27</v>
      </c>
    </row>
    <row r="23" spans="1:1" x14ac:dyDescent="0.3">
      <c r="A23" t="s">
        <v>28</v>
      </c>
    </row>
    <row r="24" spans="1:1" x14ac:dyDescent="0.3">
      <c r="A24" t="s">
        <v>29</v>
      </c>
    </row>
    <row r="25" spans="1:1" x14ac:dyDescent="0.3">
      <c r="A25" t="s">
        <v>30</v>
      </c>
    </row>
    <row r="26" spans="1:1" x14ac:dyDescent="0.3">
      <c r="A26" t="s">
        <v>31</v>
      </c>
    </row>
    <row r="27" spans="1:1" x14ac:dyDescent="0.3">
      <c r="A27" t="s">
        <v>32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Round_Generator</vt:lpstr>
      <vt:lpstr>Sheet2</vt:lpstr>
      <vt:lpstr>Sheet3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</dc:creator>
  <cp:lastModifiedBy>Kelly Kantack</cp:lastModifiedBy>
  <dcterms:created xsi:type="dcterms:W3CDTF">2016-03-16T18:24:43Z</dcterms:created>
  <dcterms:modified xsi:type="dcterms:W3CDTF">2023-02-23T22:08:40Z</dcterms:modified>
</cp:coreProperties>
</file>